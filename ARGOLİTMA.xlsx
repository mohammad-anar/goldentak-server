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omeraltintak/Desktop/"/>
    </mc:Choice>
  </mc:AlternateContent>
  <xr:revisionPtr revIDLastSave="3" documentId="13_ncr:1_{F4F6E939-FCC3-DC44-8A1D-9F11C80EBF47}" xr6:coauthVersionLast="47" xr6:coauthVersionMax="47" xr10:uidLastSave="{F5FE69E8-671C-49F2-84FB-A8C1DACBC714}"/>
  <bookViews>
    <workbookView xWindow="0" yWindow="580" windowWidth="25600" windowHeight="16060" activeTab="1" xr2:uid="{B9140CCC-D0F9-4C4D-8E7A-BEB188BBE183}"/>
  </bookViews>
  <sheets>
    <sheet name="ANALİZ" sheetId="9" r:id="rId1"/>
    <sheet name="result" sheetId="8" r:id="rId2"/>
  </sheets>
  <definedNames>
    <definedName name="_xlnm._FilterDatabase" localSheetId="1" hidden="1">result!#REF!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AW6" i="9"/>
  <c r="AO6" i="9"/>
  <c r="AF6" i="9"/>
  <c r="AF8" i="9"/>
  <c r="G9" i="8"/>
  <c r="G10" i="8"/>
  <c r="G11" i="8"/>
  <c r="G12" i="8"/>
  <c r="G13" i="8"/>
  <c r="G21" i="8"/>
  <c r="G22" i="8"/>
  <c r="G23" i="8"/>
  <c r="G24" i="8"/>
  <c r="G25" i="8"/>
  <c r="G33" i="8"/>
  <c r="G34" i="8"/>
  <c r="G35" i="8"/>
  <c r="G43" i="8"/>
  <c r="G44" i="8"/>
  <c r="G45" i="8"/>
  <c r="G53" i="8"/>
  <c r="G54" i="8"/>
  <c r="G55" i="8"/>
  <c r="G63" i="8"/>
  <c r="G64" i="8"/>
  <c r="G65" i="8"/>
  <c r="G66" i="8"/>
  <c r="G74" i="8"/>
  <c r="E4" i="8" l="1"/>
  <c r="E5" i="8"/>
  <c r="E6" i="8"/>
  <c r="E7" i="8"/>
  <c r="E8" i="8"/>
  <c r="E9" i="8"/>
  <c r="E10" i="8"/>
  <c r="E11" i="8"/>
  <c r="E12" i="8"/>
  <c r="E13" i="8"/>
  <c r="D70" i="8"/>
  <c r="E70" i="8"/>
  <c r="D71" i="8"/>
  <c r="E71" i="8"/>
  <c r="D72" i="8"/>
  <c r="E72" i="8"/>
  <c r="D73" i="8"/>
  <c r="E73" i="8"/>
  <c r="D74" i="8"/>
  <c r="E74" i="8"/>
  <c r="E69" i="8"/>
  <c r="D69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E58" i="8"/>
  <c r="D58" i="8"/>
  <c r="D55" i="8"/>
  <c r="E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E38" i="8"/>
  <c r="D3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E28" i="8"/>
  <c r="D28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E16" i="8"/>
  <c r="D16" i="8"/>
  <c r="D13" i="8"/>
  <c r="D5" i="8"/>
  <c r="D6" i="8"/>
  <c r="D7" i="8"/>
  <c r="D8" i="8"/>
  <c r="D9" i="8"/>
  <c r="D10" i="8"/>
  <c r="D11" i="8"/>
  <c r="D12" i="8"/>
  <c r="D4" i="8"/>
  <c r="F19" i="9"/>
  <c r="E19" i="9" s="1"/>
  <c r="F20" i="9"/>
  <c r="E20" i="9" s="1"/>
  <c r="F21" i="9"/>
  <c r="F22" i="9"/>
  <c r="E22" i="9" s="1"/>
  <c r="F23" i="9"/>
  <c r="F24" i="9"/>
  <c r="E24" i="9" s="1"/>
  <c r="F25" i="9"/>
  <c r="E25" i="9" s="1"/>
  <c r="F26" i="9"/>
  <c r="E26" i="9" s="1"/>
  <c r="F27" i="9"/>
  <c r="E27" i="9" s="1"/>
  <c r="F18" i="9"/>
  <c r="E18" i="9" s="1"/>
  <c r="F7" i="9"/>
  <c r="E7" i="9" s="1"/>
  <c r="F8" i="9"/>
  <c r="E8" i="9" s="1"/>
  <c r="F9" i="9"/>
  <c r="F10" i="9"/>
  <c r="E10" i="9" s="1"/>
  <c r="F11" i="9"/>
  <c r="E11" i="9" s="1"/>
  <c r="F12" i="9"/>
  <c r="E12" i="9" s="1"/>
  <c r="F13" i="9"/>
  <c r="E13" i="9" s="1"/>
  <c r="F14" i="9"/>
  <c r="E14" i="9" s="1"/>
  <c r="F15" i="9"/>
  <c r="E15" i="9" s="1"/>
  <c r="F6" i="9"/>
  <c r="E6" i="9" s="1"/>
  <c r="AV77" i="9"/>
  <c r="AU77" i="9"/>
  <c r="AT77" i="9"/>
  <c r="AJ77" i="9"/>
  <c r="AS77" i="9" s="1"/>
  <c r="AI77" i="9"/>
  <c r="AR77" i="9" s="1"/>
  <c r="AH77" i="9"/>
  <c r="AQ77" i="9" s="1"/>
  <c r="AG77" i="9"/>
  <c r="AP77" i="9" s="1"/>
  <c r="AF77" i="9"/>
  <c r="AO77" i="9" s="1"/>
  <c r="AM76" i="9"/>
  <c r="AV76" i="9" s="1"/>
  <c r="AJ76" i="9"/>
  <c r="AI76" i="9"/>
  <c r="AR76" i="9" s="1"/>
  <c r="AH76" i="9"/>
  <c r="AQ76" i="9" s="1"/>
  <c r="AG76" i="9"/>
  <c r="AP76" i="9" s="1"/>
  <c r="AF76" i="9"/>
  <c r="AO76" i="9" s="1"/>
  <c r="E76" i="9"/>
  <c r="AM75" i="9"/>
  <c r="AV75" i="9" s="1"/>
  <c r="AJ75" i="9"/>
  <c r="AS75" i="9" s="1"/>
  <c r="AI75" i="9"/>
  <c r="AR75" i="9" s="1"/>
  <c r="AH75" i="9"/>
  <c r="AG75" i="9"/>
  <c r="AP75" i="9" s="1"/>
  <c r="AF75" i="9"/>
  <c r="AO75" i="9" s="1"/>
  <c r="E75" i="9"/>
  <c r="AM74" i="9"/>
  <c r="AV74" i="9" s="1"/>
  <c r="AJ74" i="9"/>
  <c r="AS74" i="9" s="1"/>
  <c r="AI74" i="9"/>
  <c r="AR74" i="9" s="1"/>
  <c r="AH74" i="9"/>
  <c r="AG74" i="9"/>
  <c r="AP74" i="9" s="1"/>
  <c r="AF74" i="9"/>
  <c r="AO74" i="9" s="1"/>
  <c r="E74" i="9"/>
  <c r="AM73" i="9"/>
  <c r="AV73" i="9" s="1"/>
  <c r="AJ73" i="9"/>
  <c r="AS73" i="9" s="1"/>
  <c r="AI73" i="9"/>
  <c r="AR73" i="9" s="1"/>
  <c r="AH73" i="9"/>
  <c r="AG73" i="9"/>
  <c r="AP73" i="9" s="1"/>
  <c r="AF73" i="9"/>
  <c r="AO73" i="9" s="1"/>
  <c r="E73" i="9"/>
  <c r="AM72" i="9"/>
  <c r="AV72" i="9" s="1"/>
  <c r="AJ72" i="9"/>
  <c r="AS72" i="9" s="1"/>
  <c r="AI72" i="9"/>
  <c r="AR72" i="9" s="1"/>
  <c r="AH72" i="9"/>
  <c r="AG72" i="9"/>
  <c r="AP72" i="9" s="1"/>
  <c r="AF72" i="9"/>
  <c r="AO72" i="9" s="1"/>
  <c r="E72" i="9"/>
  <c r="AM71" i="9"/>
  <c r="AV71" i="9" s="1"/>
  <c r="AJ71" i="9"/>
  <c r="AS71" i="9" s="1"/>
  <c r="AI71" i="9"/>
  <c r="AR71" i="9" s="1"/>
  <c r="AH71" i="9"/>
  <c r="AG71" i="9"/>
  <c r="AP71" i="9" s="1"/>
  <c r="AF71" i="9"/>
  <c r="AO71" i="9" s="1"/>
  <c r="E71" i="9"/>
  <c r="AV70" i="9"/>
  <c r="AU70" i="9"/>
  <c r="AT70" i="9"/>
  <c r="AJ70" i="9"/>
  <c r="AS70" i="9" s="1"/>
  <c r="AI70" i="9"/>
  <c r="AR70" i="9" s="1"/>
  <c r="AH70" i="9"/>
  <c r="AQ70" i="9" s="1"/>
  <c r="AG70" i="9"/>
  <c r="AP70" i="9" s="1"/>
  <c r="AF70" i="9"/>
  <c r="AO70" i="9" s="1"/>
  <c r="AV69" i="9"/>
  <c r="AU69" i="9"/>
  <c r="AT69" i="9"/>
  <c r="AJ69" i="9"/>
  <c r="AS69" i="9" s="1"/>
  <c r="AI69" i="9"/>
  <c r="AR69" i="9" s="1"/>
  <c r="AH69" i="9"/>
  <c r="AQ69" i="9" s="1"/>
  <c r="AG69" i="9"/>
  <c r="AP69" i="9" s="1"/>
  <c r="AF69" i="9"/>
  <c r="AO69" i="9" s="1"/>
  <c r="AM68" i="9"/>
  <c r="AV68" i="9" s="1"/>
  <c r="AJ68" i="9"/>
  <c r="AS68" i="9" s="1"/>
  <c r="AI68" i="9"/>
  <c r="AR68" i="9" s="1"/>
  <c r="AH68" i="9"/>
  <c r="AQ68" i="9" s="1"/>
  <c r="AG68" i="9"/>
  <c r="AP68" i="9" s="1"/>
  <c r="AF68" i="9"/>
  <c r="AO68" i="9" s="1"/>
  <c r="E68" i="9"/>
  <c r="AM67" i="9"/>
  <c r="AV67" i="9" s="1"/>
  <c r="AJ67" i="9"/>
  <c r="AS67" i="9" s="1"/>
  <c r="AI67" i="9"/>
  <c r="AR67" i="9" s="1"/>
  <c r="AH67" i="9"/>
  <c r="AQ67" i="9" s="1"/>
  <c r="AG67" i="9"/>
  <c r="AP67" i="9" s="1"/>
  <c r="AF67" i="9"/>
  <c r="AO67" i="9" s="1"/>
  <c r="E67" i="9"/>
  <c r="AM66" i="9"/>
  <c r="AV66" i="9" s="1"/>
  <c r="AJ66" i="9"/>
  <c r="AS66" i="9" s="1"/>
  <c r="AI66" i="9"/>
  <c r="AR66" i="9" s="1"/>
  <c r="AH66" i="9"/>
  <c r="AQ66" i="9" s="1"/>
  <c r="AG66" i="9"/>
  <c r="AP66" i="9" s="1"/>
  <c r="AF66" i="9"/>
  <c r="AO66" i="9" s="1"/>
  <c r="E66" i="9"/>
  <c r="AM65" i="9"/>
  <c r="AV65" i="9" s="1"/>
  <c r="AJ65" i="9"/>
  <c r="AS65" i="9" s="1"/>
  <c r="AI65" i="9"/>
  <c r="AR65" i="9" s="1"/>
  <c r="AH65" i="9"/>
  <c r="AG65" i="9"/>
  <c r="AP65" i="9" s="1"/>
  <c r="AF65" i="9"/>
  <c r="AO65" i="9" s="1"/>
  <c r="E65" i="9"/>
  <c r="AM64" i="9"/>
  <c r="AV64" i="9" s="1"/>
  <c r="AJ64" i="9"/>
  <c r="AS64" i="9" s="1"/>
  <c r="AI64" i="9"/>
  <c r="AR64" i="9" s="1"/>
  <c r="AH64" i="9"/>
  <c r="AG64" i="9"/>
  <c r="AP64" i="9" s="1"/>
  <c r="AF64" i="9"/>
  <c r="AO64" i="9" s="1"/>
  <c r="E64" i="9"/>
  <c r="AM63" i="9"/>
  <c r="AV63" i="9" s="1"/>
  <c r="AJ63" i="9"/>
  <c r="AS63" i="9" s="1"/>
  <c r="AI63" i="9"/>
  <c r="AR63" i="9" s="1"/>
  <c r="AH63" i="9"/>
  <c r="AG63" i="9"/>
  <c r="AP63" i="9" s="1"/>
  <c r="AF63" i="9"/>
  <c r="AO63" i="9" s="1"/>
  <c r="E63" i="9"/>
  <c r="AM62" i="9"/>
  <c r="AV62" i="9" s="1"/>
  <c r="AJ62" i="9"/>
  <c r="AI62" i="9"/>
  <c r="AR62" i="9" s="1"/>
  <c r="AH62" i="9"/>
  <c r="AQ62" i="9" s="1"/>
  <c r="AG62" i="9"/>
  <c r="AP62" i="9" s="1"/>
  <c r="AF62" i="9"/>
  <c r="AO62" i="9" s="1"/>
  <c r="E62" i="9"/>
  <c r="AM61" i="9"/>
  <c r="AV61" i="9" s="1"/>
  <c r="AJ61" i="9"/>
  <c r="AS61" i="9" s="1"/>
  <c r="AI61" i="9"/>
  <c r="AR61" i="9" s="1"/>
  <c r="AH61" i="9"/>
  <c r="AG61" i="9"/>
  <c r="AP61" i="9" s="1"/>
  <c r="AF61" i="9"/>
  <c r="AO61" i="9" s="1"/>
  <c r="E61" i="9"/>
  <c r="AM60" i="9"/>
  <c r="AV60" i="9" s="1"/>
  <c r="AJ60" i="9"/>
  <c r="AS60" i="9" s="1"/>
  <c r="AI60" i="9"/>
  <c r="AR60" i="9" s="1"/>
  <c r="AH60" i="9"/>
  <c r="AG60" i="9"/>
  <c r="AP60" i="9" s="1"/>
  <c r="AF60" i="9"/>
  <c r="AO60" i="9" s="1"/>
  <c r="AV59" i="9"/>
  <c r="AU59" i="9"/>
  <c r="AT59" i="9"/>
  <c r="AJ59" i="9"/>
  <c r="AS59" i="9" s="1"/>
  <c r="AI59" i="9"/>
  <c r="AR59" i="9" s="1"/>
  <c r="AH59" i="9"/>
  <c r="AQ59" i="9" s="1"/>
  <c r="AG59" i="9"/>
  <c r="AP59" i="9" s="1"/>
  <c r="AF59" i="9"/>
  <c r="AO59" i="9" s="1"/>
  <c r="AV58" i="9"/>
  <c r="AU58" i="9"/>
  <c r="AT58" i="9"/>
  <c r="AJ58" i="9"/>
  <c r="AS58" i="9" s="1"/>
  <c r="AI58" i="9"/>
  <c r="AR58" i="9" s="1"/>
  <c r="AH58" i="9"/>
  <c r="AQ58" i="9" s="1"/>
  <c r="AG58" i="9"/>
  <c r="AP58" i="9" s="1"/>
  <c r="AF58" i="9"/>
  <c r="AO58" i="9" s="1"/>
  <c r="AM57" i="9"/>
  <c r="AV57" i="9" s="1"/>
  <c r="AJ57" i="9"/>
  <c r="AI57" i="9"/>
  <c r="AR57" i="9" s="1"/>
  <c r="AH57" i="9"/>
  <c r="AQ57" i="9" s="1"/>
  <c r="AG57" i="9"/>
  <c r="AP57" i="9" s="1"/>
  <c r="AF57" i="9"/>
  <c r="AO57" i="9" s="1"/>
  <c r="E57" i="9"/>
  <c r="AM56" i="9"/>
  <c r="AV56" i="9" s="1"/>
  <c r="AJ56" i="9"/>
  <c r="AS56" i="9" s="1"/>
  <c r="AI56" i="9"/>
  <c r="AR56" i="9" s="1"/>
  <c r="AH56" i="9"/>
  <c r="AQ56" i="9" s="1"/>
  <c r="AG56" i="9"/>
  <c r="AP56" i="9" s="1"/>
  <c r="AF56" i="9"/>
  <c r="AO56" i="9" s="1"/>
  <c r="E56" i="9"/>
  <c r="AM55" i="9"/>
  <c r="AV55" i="9" s="1"/>
  <c r="AJ55" i="9"/>
  <c r="AS55" i="9" s="1"/>
  <c r="AI55" i="9"/>
  <c r="AR55" i="9" s="1"/>
  <c r="AH55" i="9"/>
  <c r="AG55" i="9"/>
  <c r="AP55" i="9" s="1"/>
  <c r="AF55" i="9"/>
  <c r="AO55" i="9" s="1"/>
  <c r="E55" i="9"/>
  <c r="AM54" i="9"/>
  <c r="AV54" i="9" s="1"/>
  <c r="AJ54" i="9"/>
  <c r="AS54" i="9" s="1"/>
  <c r="AI54" i="9"/>
  <c r="AR54" i="9" s="1"/>
  <c r="AH54" i="9"/>
  <c r="AQ54" i="9" s="1"/>
  <c r="AG54" i="9"/>
  <c r="AP54" i="9" s="1"/>
  <c r="AF54" i="9"/>
  <c r="AO54" i="9" s="1"/>
  <c r="E54" i="9"/>
  <c r="AM53" i="9"/>
  <c r="AV53" i="9" s="1"/>
  <c r="AJ53" i="9"/>
  <c r="AS53" i="9" s="1"/>
  <c r="AI53" i="9"/>
  <c r="AR53" i="9" s="1"/>
  <c r="AH53" i="9"/>
  <c r="AQ53" i="9" s="1"/>
  <c r="AG53" i="9"/>
  <c r="AP53" i="9" s="1"/>
  <c r="AF53" i="9"/>
  <c r="AO53" i="9" s="1"/>
  <c r="E53" i="9"/>
  <c r="AM52" i="9"/>
  <c r="AV52" i="9" s="1"/>
  <c r="AJ52" i="9"/>
  <c r="AS52" i="9" s="1"/>
  <c r="AI52" i="9"/>
  <c r="AR52" i="9" s="1"/>
  <c r="AH52" i="9"/>
  <c r="AQ52" i="9" s="1"/>
  <c r="AG52" i="9"/>
  <c r="AP52" i="9" s="1"/>
  <c r="AF52" i="9"/>
  <c r="AO52" i="9" s="1"/>
  <c r="E52" i="9"/>
  <c r="AM51" i="9"/>
  <c r="AV51" i="9" s="1"/>
  <c r="AJ51" i="9"/>
  <c r="AS51" i="9" s="1"/>
  <c r="AI51" i="9"/>
  <c r="AH51" i="9"/>
  <c r="AQ51" i="9" s="1"/>
  <c r="AG51" i="9"/>
  <c r="AP51" i="9" s="1"/>
  <c r="AF51" i="9"/>
  <c r="AO51" i="9" s="1"/>
  <c r="E51" i="9"/>
  <c r="AM50" i="9"/>
  <c r="AV50" i="9" s="1"/>
  <c r="AJ50" i="9"/>
  <c r="AS50" i="9" s="1"/>
  <c r="AI50" i="9"/>
  <c r="AR50" i="9" s="1"/>
  <c r="AH50" i="9"/>
  <c r="AQ50" i="9" s="1"/>
  <c r="AG50" i="9"/>
  <c r="AP50" i="9" s="1"/>
  <c r="AF50" i="9"/>
  <c r="AO50" i="9" s="1"/>
  <c r="E50" i="9"/>
  <c r="AV49" i="9"/>
  <c r="AU49" i="9"/>
  <c r="AT49" i="9"/>
  <c r="AJ49" i="9"/>
  <c r="AS49" i="9" s="1"/>
  <c r="AI49" i="9"/>
  <c r="AR49" i="9" s="1"/>
  <c r="AH49" i="9"/>
  <c r="AQ49" i="9" s="1"/>
  <c r="AG49" i="9"/>
  <c r="AP49" i="9" s="1"/>
  <c r="AF49" i="9"/>
  <c r="AO49" i="9" s="1"/>
  <c r="AV48" i="9"/>
  <c r="AU48" i="9"/>
  <c r="AT48" i="9"/>
  <c r="AJ48" i="9"/>
  <c r="AS48" i="9" s="1"/>
  <c r="AI48" i="9"/>
  <c r="AR48" i="9" s="1"/>
  <c r="AH48" i="9"/>
  <c r="AQ48" i="9" s="1"/>
  <c r="AG48" i="9"/>
  <c r="AP48" i="9" s="1"/>
  <c r="AF48" i="9"/>
  <c r="AO48" i="9" s="1"/>
  <c r="AM47" i="9"/>
  <c r="AV47" i="9" s="1"/>
  <c r="AJ47" i="9"/>
  <c r="AS47" i="9" s="1"/>
  <c r="AI47" i="9"/>
  <c r="AR47" i="9" s="1"/>
  <c r="AH47" i="9"/>
  <c r="AQ47" i="9" s="1"/>
  <c r="AG47" i="9"/>
  <c r="AP47" i="9" s="1"/>
  <c r="AF47" i="9"/>
  <c r="AO47" i="9" s="1"/>
  <c r="E47" i="9"/>
  <c r="AM46" i="9"/>
  <c r="AV46" i="9" s="1"/>
  <c r="AJ46" i="9"/>
  <c r="AS46" i="9" s="1"/>
  <c r="AI46" i="9"/>
  <c r="AR46" i="9" s="1"/>
  <c r="AH46" i="9"/>
  <c r="AQ46" i="9" s="1"/>
  <c r="AG46" i="9"/>
  <c r="AP46" i="9" s="1"/>
  <c r="AF46" i="9"/>
  <c r="AO46" i="9" s="1"/>
  <c r="E46" i="9"/>
  <c r="AM45" i="9"/>
  <c r="AV45" i="9" s="1"/>
  <c r="AJ45" i="9"/>
  <c r="AS45" i="9" s="1"/>
  <c r="AI45" i="9"/>
  <c r="AH45" i="9"/>
  <c r="AQ45" i="9" s="1"/>
  <c r="AG45" i="9"/>
  <c r="AP45" i="9" s="1"/>
  <c r="AF45" i="9"/>
  <c r="AO45" i="9" s="1"/>
  <c r="E45" i="9"/>
  <c r="AM44" i="9"/>
  <c r="AV44" i="9" s="1"/>
  <c r="AJ44" i="9"/>
  <c r="AS44" i="9" s="1"/>
  <c r="AI44" i="9"/>
  <c r="AR44" i="9" s="1"/>
  <c r="AH44" i="9"/>
  <c r="AQ44" i="9" s="1"/>
  <c r="AG44" i="9"/>
  <c r="AP44" i="9" s="1"/>
  <c r="AF44" i="9"/>
  <c r="AO44" i="9" s="1"/>
  <c r="E44" i="9"/>
  <c r="AM43" i="9"/>
  <c r="AV43" i="9" s="1"/>
  <c r="AJ43" i="9"/>
  <c r="AS43" i="9" s="1"/>
  <c r="AI43" i="9"/>
  <c r="AR43" i="9" s="1"/>
  <c r="AH43" i="9"/>
  <c r="AG43" i="9"/>
  <c r="AP43" i="9" s="1"/>
  <c r="AF43" i="9"/>
  <c r="AO43" i="9" s="1"/>
  <c r="E43" i="9"/>
  <c r="AM42" i="9"/>
  <c r="AV42" i="9" s="1"/>
  <c r="AJ42" i="9"/>
  <c r="AI42" i="9"/>
  <c r="AR42" i="9" s="1"/>
  <c r="AH42" i="9"/>
  <c r="AQ42" i="9" s="1"/>
  <c r="AG42" i="9"/>
  <c r="AP42" i="9" s="1"/>
  <c r="AF42" i="9"/>
  <c r="AO42" i="9" s="1"/>
  <c r="E42" i="9"/>
  <c r="AM41" i="9"/>
  <c r="AV41" i="9" s="1"/>
  <c r="AJ41" i="9"/>
  <c r="AS41" i="9" s="1"/>
  <c r="AI41" i="9"/>
  <c r="AR41" i="9" s="1"/>
  <c r="AH41" i="9"/>
  <c r="AG41" i="9"/>
  <c r="AP41" i="9" s="1"/>
  <c r="AF41" i="9"/>
  <c r="AO41" i="9" s="1"/>
  <c r="E41" i="9"/>
  <c r="AM40" i="9"/>
  <c r="AV40" i="9" s="1"/>
  <c r="AJ40" i="9"/>
  <c r="AS40" i="9" s="1"/>
  <c r="AI40" i="9"/>
  <c r="AR40" i="9" s="1"/>
  <c r="AH40" i="9"/>
  <c r="AG40" i="9"/>
  <c r="AP40" i="9" s="1"/>
  <c r="AF40" i="9"/>
  <c r="AO40" i="9" s="1"/>
  <c r="E40" i="9"/>
  <c r="AV39" i="9"/>
  <c r="AU39" i="9"/>
  <c r="AT39" i="9"/>
  <c r="AJ39" i="9"/>
  <c r="AS39" i="9" s="1"/>
  <c r="AI39" i="9"/>
  <c r="AR39" i="9" s="1"/>
  <c r="AH39" i="9"/>
  <c r="AQ39" i="9" s="1"/>
  <c r="AG39" i="9"/>
  <c r="AP39" i="9" s="1"/>
  <c r="AF39" i="9"/>
  <c r="AO39" i="9" s="1"/>
  <c r="AV38" i="9"/>
  <c r="AU38" i="9"/>
  <c r="AT38" i="9"/>
  <c r="AJ38" i="9"/>
  <c r="AS38" i="9" s="1"/>
  <c r="AI38" i="9"/>
  <c r="AR38" i="9" s="1"/>
  <c r="AH38" i="9"/>
  <c r="AQ38" i="9" s="1"/>
  <c r="AG38" i="9"/>
  <c r="AP38" i="9" s="1"/>
  <c r="AF38" i="9"/>
  <c r="AO38" i="9" s="1"/>
  <c r="AM37" i="9"/>
  <c r="AV37" i="9" s="1"/>
  <c r="AJ37" i="9"/>
  <c r="AS37" i="9" s="1"/>
  <c r="AI37" i="9"/>
  <c r="AR37" i="9" s="1"/>
  <c r="AH37" i="9"/>
  <c r="AQ37" i="9" s="1"/>
  <c r="AG37" i="9"/>
  <c r="AP37" i="9" s="1"/>
  <c r="AF37" i="9"/>
  <c r="AO37" i="9" s="1"/>
  <c r="E37" i="9"/>
  <c r="AM36" i="9"/>
  <c r="AV36" i="9" s="1"/>
  <c r="AJ36" i="9"/>
  <c r="AS36" i="9" s="1"/>
  <c r="AI36" i="9"/>
  <c r="AR36" i="9" s="1"/>
  <c r="AH36" i="9"/>
  <c r="AG36" i="9"/>
  <c r="AP36" i="9" s="1"/>
  <c r="AF36" i="9"/>
  <c r="AO36" i="9" s="1"/>
  <c r="E36" i="9"/>
  <c r="AM35" i="9"/>
  <c r="AV35" i="9" s="1"/>
  <c r="AJ35" i="9"/>
  <c r="AS35" i="9" s="1"/>
  <c r="AI35" i="9"/>
  <c r="AR35" i="9" s="1"/>
  <c r="AH35" i="9"/>
  <c r="AQ35" i="9" s="1"/>
  <c r="AG35" i="9"/>
  <c r="AP35" i="9" s="1"/>
  <c r="AF35" i="9"/>
  <c r="AO35" i="9" s="1"/>
  <c r="E35" i="9"/>
  <c r="AM34" i="9"/>
  <c r="AV34" i="9" s="1"/>
  <c r="AJ34" i="9"/>
  <c r="AS34" i="9" s="1"/>
  <c r="AI34" i="9"/>
  <c r="AR34" i="9" s="1"/>
  <c r="AH34" i="9"/>
  <c r="AQ34" i="9" s="1"/>
  <c r="AG34" i="9"/>
  <c r="AP34" i="9" s="1"/>
  <c r="AF34" i="9"/>
  <c r="AO34" i="9" s="1"/>
  <c r="E34" i="9"/>
  <c r="AM33" i="9"/>
  <c r="AV33" i="9" s="1"/>
  <c r="AJ33" i="9"/>
  <c r="AS33" i="9" s="1"/>
  <c r="AI33" i="9"/>
  <c r="AR33" i="9" s="1"/>
  <c r="AH33" i="9"/>
  <c r="AG33" i="9"/>
  <c r="AP33" i="9" s="1"/>
  <c r="AF33" i="9"/>
  <c r="AO33" i="9" s="1"/>
  <c r="E33" i="9"/>
  <c r="AM32" i="9"/>
  <c r="AV32" i="9" s="1"/>
  <c r="AJ32" i="9"/>
  <c r="AS32" i="9" s="1"/>
  <c r="AI32" i="9"/>
  <c r="AR32" i="9" s="1"/>
  <c r="AH32" i="9"/>
  <c r="AQ32" i="9" s="1"/>
  <c r="AG32" i="9"/>
  <c r="AP32" i="9" s="1"/>
  <c r="AF32" i="9"/>
  <c r="AO32" i="9" s="1"/>
  <c r="E32" i="9"/>
  <c r="AM31" i="9"/>
  <c r="AV31" i="9" s="1"/>
  <c r="AJ31" i="9"/>
  <c r="AS31" i="9" s="1"/>
  <c r="AI31" i="9"/>
  <c r="AR31" i="9" s="1"/>
  <c r="AH31" i="9"/>
  <c r="AQ31" i="9" s="1"/>
  <c r="AG31" i="9"/>
  <c r="AP31" i="9" s="1"/>
  <c r="AF31" i="9"/>
  <c r="AO31" i="9" s="1"/>
  <c r="E31" i="9"/>
  <c r="AM30" i="9"/>
  <c r="AV30" i="9" s="1"/>
  <c r="AJ30" i="9"/>
  <c r="AS30" i="9" s="1"/>
  <c r="AI30" i="9"/>
  <c r="AR30" i="9" s="1"/>
  <c r="AH30" i="9"/>
  <c r="AQ30" i="9" s="1"/>
  <c r="AG30" i="9"/>
  <c r="AP30" i="9" s="1"/>
  <c r="AF30" i="9"/>
  <c r="AO30" i="9" s="1"/>
  <c r="E30" i="9"/>
  <c r="AV29" i="9"/>
  <c r="AU29" i="9"/>
  <c r="AT29" i="9"/>
  <c r="AJ29" i="9"/>
  <c r="AS29" i="9" s="1"/>
  <c r="AI29" i="9"/>
  <c r="AR29" i="9" s="1"/>
  <c r="AH29" i="9"/>
  <c r="AQ29" i="9" s="1"/>
  <c r="AG29" i="9"/>
  <c r="AP29" i="9" s="1"/>
  <c r="AF29" i="9"/>
  <c r="AO29" i="9" s="1"/>
  <c r="AV28" i="9"/>
  <c r="AU28" i="9"/>
  <c r="AT28" i="9"/>
  <c r="AJ28" i="9"/>
  <c r="AS28" i="9" s="1"/>
  <c r="AI28" i="9"/>
  <c r="AR28" i="9" s="1"/>
  <c r="AH28" i="9"/>
  <c r="AQ28" i="9" s="1"/>
  <c r="AG28" i="9"/>
  <c r="AP28" i="9" s="1"/>
  <c r="AF28" i="9"/>
  <c r="AO28" i="9" s="1"/>
  <c r="AM27" i="9"/>
  <c r="AV27" i="9" s="1"/>
  <c r="AJ27" i="9"/>
  <c r="AS27" i="9" s="1"/>
  <c r="AI27" i="9"/>
  <c r="AR27" i="9" s="1"/>
  <c r="AH27" i="9"/>
  <c r="AQ27" i="9" s="1"/>
  <c r="AG27" i="9"/>
  <c r="AP27" i="9" s="1"/>
  <c r="AF27" i="9"/>
  <c r="AO27" i="9" s="1"/>
  <c r="AM26" i="9"/>
  <c r="AV26" i="9" s="1"/>
  <c r="AJ26" i="9"/>
  <c r="AS26" i="9" s="1"/>
  <c r="AI26" i="9"/>
  <c r="AR26" i="9" s="1"/>
  <c r="AH26" i="9"/>
  <c r="AG26" i="9"/>
  <c r="AP26" i="9" s="1"/>
  <c r="AF26" i="9"/>
  <c r="AO26" i="9" s="1"/>
  <c r="AM25" i="9"/>
  <c r="AV25" i="9" s="1"/>
  <c r="AJ25" i="9"/>
  <c r="AS25" i="9" s="1"/>
  <c r="AI25" i="9"/>
  <c r="AR25" i="9" s="1"/>
  <c r="AH25" i="9"/>
  <c r="AG25" i="9"/>
  <c r="AP25" i="9" s="1"/>
  <c r="AF25" i="9"/>
  <c r="AO25" i="9" s="1"/>
  <c r="AM24" i="9"/>
  <c r="AV24" i="9" s="1"/>
  <c r="AJ24" i="9"/>
  <c r="AI24" i="9"/>
  <c r="AR24" i="9" s="1"/>
  <c r="AH24" i="9"/>
  <c r="AQ24" i="9" s="1"/>
  <c r="AG24" i="9"/>
  <c r="AP24" i="9" s="1"/>
  <c r="AF24" i="9"/>
  <c r="AO24" i="9" s="1"/>
  <c r="AM23" i="9"/>
  <c r="AV23" i="9" s="1"/>
  <c r="AJ23" i="9"/>
  <c r="AS23" i="9" s="1"/>
  <c r="AI23" i="9"/>
  <c r="AR23" i="9" s="1"/>
  <c r="AH23" i="9"/>
  <c r="AQ23" i="9" s="1"/>
  <c r="AG23" i="9"/>
  <c r="AP23" i="9" s="1"/>
  <c r="AF23" i="9"/>
  <c r="AO23" i="9" s="1"/>
  <c r="E23" i="9"/>
  <c r="AM22" i="9"/>
  <c r="AV22" i="9" s="1"/>
  <c r="AJ22" i="9"/>
  <c r="AS22" i="9" s="1"/>
  <c r="AI22" i="9"/>
  <c r="AR22" i="9" s="1"/>
  <c r="AH22" i="9"/>
  <c r="AQ22" i="9" s="1"/>
  <c r="AG22" i="9"/>
  <c r="AP22" i="9" s="1"/>
  <c r="AF22" i="9"/>
  <c r="AO22" i="9" s="1"/>
  <c r="AM21" i="9"/>
  <c r="AV21" i="9" s="1"/>
  <c r="AJ21" i="9"/>
  <c r="AS21" i="9" s="1"/>
  <c r="AI21" i="9"/>
  <c r="AR21" i="9" s="1"/>
  <c r="AH21" i="9"/>
  <c r="AQ21" i="9" s="1"/>
  <c r="AG21" i="9"/>
  <c r="AP21" i="9" s="1"/>
  <c r="AF21" i="9"/>
  <c r="AO21" i="9" s="1"/>
  <c r="E21" i="9"/>
  <c r="AM20" i="9"/>
  <c r="AV20" i="9" s="1"/>
  <c r="AJ20" i="9"/>
  <c r="AS20" i="9" s="1"/>
  <c r="AI20" i="9"/>
  <c r="AR20" i="9" s="1"/>
  <c r="AH20" i="9"/>
  <c r="AQ20" i="9" s="1"/>
  <c r="AG20" i="9"/>
  <c r="AP20" i="9" s="1"/>
  <c r="AF20" i="9"/>
  <c r="AO20" i="9" s="1"/>
  <c r="AM19" i="9"/>
  <c r="AV19" i="9" s="1"/>
  <c r="AJ19" i="9"/>
  <c r="AS19" i="9" s="1"/>
  <c r="AI19" i="9"/>
  <c r="AR19" i="9" s="1"/>
  <c r="AH19" i="9"/>
  <c r="AG19" i="9"/>
  <c r="AP19" i="9" s="1"/>
  <c r="AF19" i="9"/>
  <c r="AO19" i="9" s="1"/>
  <c r="AM18" i="9"/>
  <c r="AV18" i="9" s="1"/>
  <c r="AJ18" i="9"/>
  <c r="AS18" i="9" s="1"/>
  <c r="AI18" i="9"/>
  <c r="AR18" i="9" s="1"/>
  <c r="AH18" i="9"/>
  <c r="AQ18" i="9" s="1"/>
  <c r="AG18" i="9"/>
  <c r="AP18" i="9" s="1"/>
  <c r="AF18" i="9"/>
  <c r="AO18" i="9" s="1"/>
  <c r="AV17" i="9"/>
  <c r="AU17" i="9"/>
  <c r="AT17" i="9"/>
  <c r="AS17" i="9"/>
  <c r="AR17" i="9"/>
  <c r="AQ17" i="9"/>
  <c r="AP17" i="9"/>
  <c r="AO17" i="9"/>
  <c r="AV16" i="9"/>
  <c r="AU16" i="9"/>
  <c r="AT16" i="9"/>
  <c r="AS16" i="9"/>
  <c r="AR16" i="9"/>
  <c r="AQ16" i="9"/>
  <c r="AP16" i="9"/>
  <c r="AO16" i="9"/>
  <c r="AM15" i="9"/>
  <c r="AV15" i="9" s="1"/>
  <c r="AJ15" i="9"/>
  <c r="AS15" i="9" s="1"/>
  <c r="AI15" i="9"/>
  <c r="AR15" i="9" s="1"/>
  <c r="AH15" i="9"/>
  <c r="AQ15" i="9" s="1"/>
  <c r="AG15" i="9"/>
  <c r="AP15" i="9" s="1"/>
  <c r="AF15" i="9"/>
  <c r="AO15" i="9" s="1"/>
  <c r="AM14" i="9"/>
  <c r="AV14" i="9" s="1"/>
  <c r="AJ14" i="9"/>
  <c r="AS14" i="9" s="1"/>
  <c r="AI14" i="9"/>
  <c r="AR14" i="9" s="1"/>
  <c r="AH14" i="9"/>
  <c r="AQ14" i="9" s="1"/>
  <c r="AG14" i="9"/>
  <c r="AP14" i="9" s="1"/>
  <c r="AF14" i="9"/>
  <c r="AO14" i="9" s="1"/>
  <c r="AM13" i="9"/>
  <c r="AV13" i="9" s="1"/>
  <c r="AJ13" i="9"/>
  <c r="AS13" i="9" s="1"/>
  <c r="AI13" i="9"/>
  <c r="AR13" i="9" s="1"/>
  <c r="AH13" i="9"/>
  <c r="AQ13" i="9" s="1"/>
  <c r="AG13" i="9"/>
  <c r="AP13" i="9" s="1"/>
  <c r="AF13" i="9"/>
  <c r="AO13" i="9" s="1"/>
  <c r="AM12" i="9"/>
  <c r="AV12" i="9" s="1"/>
  <c r="AJ12" i="9"/>
  <c r="AS12" i="9" s="1"/>
  <c r="AI12" i="9"/>
  <c r="AR12" i="9" s="1"/>
  <c r="AH12" i="9"/>
  <c r="AG12" i="9"/>
  <c r="AP12" i="9" s="1"/>
  <c r="AF12" i="9"/>
  <c r="AO12" i="9" s="1"/>
  <c r="AM11" i="9"/>
  <c r="AV11" i="9" s="1"/>
  <c r="AJ11" i="9"/>
  <c r="AS11" i="9" s="1"/>
  <c r="AI11" i="9"/>
  <c r="AR11" i="9" s="1"/>
  <c r="AH11" i="9"/>
  <c r="AQ11" i="9" s="1"/>
  <c r="AG11" i="9"/>
  <c r="AP11" i="9" s="1"/>
  <c r="AF11" i="9"/>
  <c r="AO11" i="9" s="1"/>
  <c r="AM10" i="9"/>
  <c r="AV10" i="9" s="1"/>
  <c r="AJ10" i="9"/>
  <c r="AS10" i="9" s="1"/>
  <c r="AI10" i="9"/>
  <c r="AR10" i="9" s="1"/>
  <c r="AH10" i="9"/>
  <c r="AG10" i="9"/>
  <c r="AP10" i="9" s="1"/>
  <c r="AF10" i="9"/>
  <c r="AO10" i="9" s="1"/>
  <c r="AT9" i="9"/>
  <c r="AM9" i="9"/>
  <c r="AV9" i="9" s="1"/>
  <c r="AJ9" i="9"/>
  <c r="AS9" i="9" s="1"/>
  <c r="AI9" i="9"/>
  <c r="AR9" i="9" s="1"/>
  <c r="AH9" i="9"/>
  <c r="AQ9" i="9" s="1"/>
  <c r="AG9" i="9"/>
  <c r="AP9" i="9" s="1"/>
  <c r="AF9" i="9"/>
  <c r="AO9" i="9" s="1"/>
  <c r="E9" i="9"/>
  <c r="AT8" i="9"/>
  <c r="AM8" i="9"/>
  <c r="AV8" i="9" s="1"/>
  <c r="AJ8" i="9"/>
  <c r="AS8" i="9" s="1"/>
  <c r="AI8" i="9"/>
  <c r="AR8" i="9" s="1"/>
  <c r="AH8" i="9"/>
  <c r="AQ8" i="9" s="1"/>
  <c r="AG8" i="9"/>
  <c r="AP8" i="9" s="1"/>
  <c r="AO8" i="9"/>
  <c r="AT7" i="9"/>
  <c r="AM7" i="9"/>
  <c r="AV7" i="9" s="1"/>
  <c r="AJ7" i="9"/>
  <c r="AS7" i="9" s="1"/>
  <c r="AI7" i="9"/>
  <c r="AR7" i="9" s="1"/>
  <c r="AH7" i="9"/>
  <c r="AQ7" i="9" s="1"/>
  <c r="AG7" i="9"/>
  <c r="AP7" i="9" s="1"/>
  <c r="AF7" i="9"/>
  <c r="AO7" i="9" s="1"/>
  <c r="AM6" i="9"/>
  <c r="AV6" i="9" s="1"/>
  <c r="AJ6" i="9"/>
  <c r="AS6" i="9" s="1"/>
  <c r="AI6" i="9"/>
  <c r="AR6" i="9" s="1"/>
  <c r="AH6" i="9"/>
  <c r="AQ6" i="9" s="1"/>
  <c r="AG6" i="9"/>
  <c r="AP6" i="9" s="1"/>
  <c r="F5" i="8" l="1"/>
  <c r="F18" i="8"/>
  <c r="F19" i="8"/>
  <c r="F20" i="8"/>
  <c r="F21" i="8"/>
  <c r="F22" i="8"/>
  <c r="F23" i="8"/>
  <c r="F24" i="8"/>
  <c r="F25" i="8"/>
  <c r="F17" i="8"/>
  <c r="F31" i="8"/>
  <c r="F34" i="8"/>
  <c r="F32" i="8"/>
  <c r="F33" i="8"/>
  <c r="F29" i="8"/>
  <c r="F30" i="8"/>
  <c r="F35" i="8"/>
  <c r="F50" i="8"/>
  <c r="F49" i="8"/>
  <c r="F52" i="8"/>
  <c r="F53" i="8"/>
  <c r="F54" i="8"/>
  <c r="F55" i="8"/>
  <c r="F51" i="8"/>
  <c r="F44" i="8"/>
  <c r="F45" i="8"/>
  <c r="F39" i="8"/>
  <c r="F40" i="8"/>
  <c r="F41" i="8"/>
  <c r="F42" i="8"/>
  <c r="F43" i="8"/>
  <c r="F73" i="8"/>
  <c r="F74" i="8"/>
  <c r="F70" i="8"/>
  <c r="F71" i="8"/>
  <c r="F72" i="8"/>
  <c r="F6" i="8"/>
  <c r="F7" i="8"/>
  <c r="F8" i="8"/>
  <c r="F9" i="8"/>
  <c r="F10" i="8"/>
  <c r="F11" i="8"/>
  <c r="F12" i="8"/>
  <c r="F13" i="8"/>
  <c r="G6" i="8"/>
  <c r="G4" i="8"/>
  <c r="G5" i="8"/>
  <c r="G7" i="8"/>
  <c r="G8" i="8"/>
  <c r="F60" i="8"/>
  <c r="F61" i="8"/>
  <c r="F62" i="8"/>
  <c r="F63" i="8"/>
  <c r="F65" i="8"/>
  <c r="F66" i="8"/>
  <c r="F59" i="8"/>
  <c r="F64" i="8"/>
  <c r="G40" i="8"/>
  <c r="G38" i="8"/>
  <c r="G41" i="8"/>
  <c r="G39" i="8"/>
  <c r="G42" i="8"/>
  <c r="G73" i="8"/>
  <c r="G69" i="8"/>
  <c r="G71" i="8"/>
  <c r="G72" i="8"/>
  <c r="G70" i="8"/>
  <c r="G61" i="8"/>
  <c r="G62" i="8"/>
  <c r="G59" i="8"/>
  <c r="G60" i="8"/>
  <c r="G58" i="8"/>
  <c r="G17" i="8"/>
  <c r="G16" i="8"/>
  <c r="G18" i="8"/>
  <c r="G19" i="8"/>
  <c r="G20" i="8"/>
  <c r="G28" i="8"/>
  <c r="I28" i="8" s="1"/>
  <c r="G29" i="8"/>
  <c r="G30" i="8"/>
  <c r="G31" i="8"/>
  <c r="G32" i="8"/>
  <c r="G49" i="8"/>
  <c r="G50" i="8"/>
  <c r="G51" i="8"/>
  <c r="G52" i="8"/>
  <c r="G48" i="8"/>
  <c r="AK63" i="9"/>
  <c r="AT63" i="9" s="1"/>
  <c r="AK43" i="9"/>
  <c r="AT43" i="9" s="1"/>
  <c r="AL50" i="9"/>
  <c r="AU50" i="9" s="1"/>
  <c r="AL71" i="9"/>
  <c r="AU71" i="9" s="1"/>
  <c r="AK36" i="9"/>
  <c r="AT36" i="9" s="1"/>
  <c r="AQ43" i="9"/>
  <c r="AQ71" i="9"/>
  <c r="AK71" i="9"/>
  <c r="AT71" i="9" s="1"/>
  <c r="AL64" i="9"/>
  <c r="AU64" i="9" s="1"/>
  <c r="AQ61" i="9"/>
  <c r="AK61" i="9"/>
  <c r="AT61" i="9" s="1"/>
  <c r="AK55" i="9"/>
  <c r="AT55" i="9" s="1"/>
  <c r="AQ55" i="9"/>
  <c r="AQ75" i="9"/>
  <c r="AK75" i="9"/>
  <c r="AT75" i="9" s="1"/>
  <c r="AK41" i="9"/>
  <c r="AT41" i="9" s="1"/>
  <c r="AQ41" i="9"/>
  <c r="AQ63" i="9"/>
  <c r="AL43" i="9"/>
  <c r="AU43" i="9" s="1"/>
  <c r="AW43" i="9" s="1"/>
  <c r="AK45" i="9"/>
  <c r="AT45" i="9" s="1"/>
  <c r="AQ65" i="9"/>
  <c r="AK65" i="9"/>
  <c r="AT65" i="9" s="1"/>
  <c r="AK37" i="9"/>
  <c r="AT37" i="9" s="1"/>
  <c r="AW38" i="9"/>
  <c r="AW29" i="9"/>
  <c r="AK25" i="9"/>
  <c r="AT25" i="9" s="1"/>
  <c r="AQ25" i="9"/>
  <c r="AK44" i="9"/>
  <c r="AT44" i="9" s="1"/>
  <c r="AL57" i="9"/>
  <c r="AU57" i="9" s="1"/>
  <c r="AK19" i="9"/>
  <c r="AT19" i="9" s="1"/>
  <c r="AL42" i="9"/>
  <c r="AU42" i="9" s="1"/>
  <c r="AW48" i="9"/>
  <c r="AK72" i="9"/>
  <c r="AT72" i="9" s="1"/>
  <c r="AK34" i="9"/>
  <c r="AT34" i="9" s="1"/>
  <c r="AK12" i="9"/>
  <c r="AT12" i="9" s="1"/>
  <c r="AK10" i="9"/>
  <c r="AT10" i="9" s="1"/>
  <c r="AQ10" i="9"/>
  <c r="AK67" i="9"/>
  <c r="AT67" i="9" s="1"/>
  <c r="AK18" i="9"/>
  <c r="AT18" i="9" s="1"/>
  <c r="AL8" i="9"/>
  <c r="AU8" i="9" s="1"/>
  <c r="AW8" i="9" s="1"/>
  <c r="AK56" i="9"/>
  <c r="AT56" i="9" s="1"/>
  <c r="AW17" i="9"/>
  <c r="AK46" i="9"/>
  <c r="AT46" i="9" s="1"/>
  <c r="AW59" i="9"/>
  <c r="AL37" i="9"/>
  <c r="AU37" i="9" s="1"/>
  <c r="AK51" i="9"/>
  <c r="AT51" i="9" s="1"/>
  <c r="AK60" i="9"/>
  <c r="AT60" i="9" s="1"/>
  <c r="AW69" i="9"/>
  <c r="AL75" i="9"/>
  <c r="AU75" i="9" s="1"/>
  <c r="AL21" i="9"/>
  <c r="AU21" i="9" s="1"/>
  <c r="AL19" i="9"/>
  <c r="AU19" i="9" s="1"/>
  <c r="AL24" i="9"/>
  <c r="AU24" i="9" s="1"/>
  <c r="AL6" i="9"/>
  <c r="AU6" i="9" s="1"/>
  <c r="AL15" i="9"/>
  <c r="AU15" i="9" s="1"/>
  <c r="AL10" i="9"/>
  <c r="AU10" i="9" s="1"/>
  <c r="AL11" i="9"/>
  <c r="AU11" i="9" s="1"/>
  <c r="AL13" i="9"/>
  <c r="AU13" i="9" s="1"/>
  <c r="AL18" i="9"/>
  <c r="AU18" i="9" s="1"/>
  <c r="AK47" i="9"/>
  <c r="AT47" i="9" s="1"/>
  <c r="AL32" i="9"/>
  <c r="AU32" i="9" s="1"/>
  <c r="AL52" i="9"/>
  <c r="AU52" i="9" s="1"/>
  <c r="AK68" i="9"/>
  <c r="AT68" i="9" s="1"/>
  <c r="AL12" i="9"/>
  <c r="AU12" i="9" s="1"/>
  <c r="AQ19" i="9"/>
  <c r="AS24" i="9"/>
  <c r="AK24" i="9"/>
  <c r="AT24" i="9" s="1"/>
  <c r="AL25" i="9"/>
  <c r="AU25" i="9" s="1"/>
  <c r="AL31" i="9"/>
  <c r="AU31" i="9" s="1"/>
  <c r="AR45" i="9"/>
  <c r="AL46" i="9"/>
  <c r="AU46" i="9" s="1"/>
  <c r="AW49" i="9"/>
  <c r="AL55" i="9"/>
  <c r="AU55" i="9" s="1"/>
  <c r="AQ60" i="9"/>
  <c r="AQ72" i="9"/>
  <c r="AL9" i="9"/>
  <c r="AU9" i="9" s="1"/>
  <c r="AW9" i="9" s="1"/>
  <c r="AK13" i="9"/>
  <c r="AT13" i="9" s="1"/>
  <c r="AL14" i="9"/>
  <c r="AU14" i="9" s="1"/>
  <c r="AL33" i="9"/>
  <c r="AU33" i="9" s="1"/>
  <c r="AL44" i="9"/>
  <c r="AU44" i="9" s="1"/>
  <c r="AL65" i="9"/>
  <c r="AU65" i="9" s="1"/>
  <c r="AR51" i="9"/>
  <c r="AL54" i="9"/>
  <c r="AU54" i="9" s="1"/>
  <c r="AL72" i="9"/>
  <c r="AU72" i="9" s="1"/>
  <c r="AS76" i="9"/>
  <c r="AK76" i="9"/>
  <c r="AT76" i="9" s="1"/>
  <c r="AK15" i="9"/>
  <c r="AT15" i="9" s="1"/>
  <c r="AK20" i="9"/>
  <c r="AT20" i="9" s="1"/>
  <c r="AK30" i="9"/>
  <c r="AT30" i="9" s="1"/>
  <c r="AK50" i="9"/>
  <c r="AT50" i="9" s="1"/>
  <c r="AL63" i="9"/>
  <c r="AU63" i="9" s="1"/>
  <c r="AQ33" i="9"/>
  <c r="AK33" i="9"/>
  <c r="AT33" i="9" s="1"/>
  <c r="AL67" i="9"/>
  <c r="AU67" i="9" s="1"/>
  <c r="AK27" i="9"/>
  <c r="AT27" i="9" s="1"/>
  <c r="AQ64" i="9"/>
  <c r="AK64" i="9"/>
  <c r="AT64" i="9" s="1"/>
  <c r="AK23" i="9"/>
  <c r="AT23" i="9" s="1"/>
  <c r="AL22" i="9"/>
  <c r="AU22" i="9" s="1"/>
  <c r="AL30" i="9"/>
  <c r="AU30" i="9" s="1"/>
  <c r="AK66" i="9"/>
  <c r="AT66" i="9" s="1"/>
  <c r="AL27" i="9"/>
  <c r="AU27" i="9" s="1"/>
  <c r="AL47" i="9"/>
  <c r="AU47" i="9" s="1"/>
  <c r="AS62" i="9"/>
  <c r="AK62" i="9"/>
  <c r="AT62" i="9" s="1"/>
  <c r="AL73" i="9"/>
  <c r="AU73" i="9" s="1"/>
  <c r="AL60" i="9"/>
  <c r="AU60" i="9" s="1"/>
  <c r="AL45" i="9"/>
  <c r="AU45" i="9" s="1"/>
  <c r="AK11" i="9"/>
  <c r="AT11" i="9" s="1"/>
  <c r="AQ12" i="9"/>
  <c r="AW16" i="9"/>
  <c r="AQ36" i="9"/>
  <c r="AL51" i="9"/>
  <c r="AU51" i="9" s="1"/>
  <c r="AK52" i="9"/>
  <c r="AT52" i="9" s="1"/>
  <c r="AL56" i="9"/>
  <c r="AU56" i="9" s="1"/>
  <c r="AL66" i="9"/>
  <c r="AU66" i="9" s="1"/>
  <c r="AK73" i="9"/>
  <c r="AT73" i="9" s="1"/>
  <c r="AQ73" i="9"/>
  <c r="AL26" i="9"/>
  <c r="AU26" i="9" s="1"/>
  <c r="AK32" i="9"/>
  <c r="AT32" i="9" s="1"/>
  <c r="AK53" i="9"/>
  <c r="AT53" i="9" s="1"/>
  <c r="AL74" i="9"/>
  <c r="AU74" i="9" s="1"/>
  <c r="AL7" i="9"/>
  <c r="AU7" i="9" s="1"/>
  <c r="AW7" i="9" s="1"/>
  <c r="AL36" i="9"/>
  <c r="AU36" i="9" s="1"/>
  <c r="AW39" i="9"/>
  <c r="AK40" i="9"/>
  <c r="AT40" i="9" s="1"/>
  <c r="AQ40" i="9"/>
  <c r="AL62" i="9"/>
  <c r="AU62" i="9" s="1"/>
  <c r="AK6" i="9"/>
  <c r="AT6" i="9" s="1"/>
  <c r="AK14" i="9"/>
  <c r="AT14" i="9" s="1"/>
  <c r="AQ26" i="9"/>
  <c r="AK26" i="9"/>
  <c r="AT26" i="9" s="1"/>
  <c r="AL35" i="9"/>
  <c r="AU35" i="9" s="1"/>
  <c r="AL76" i="9"/>
  <c r="AU76" i="9" s="1"/>
  <c r="AK22" i="9"/>
  <c r="AT22" i="9" s="1"/>
  <c r="AL23" i="9"/>
  <c r="AU23" i="9" s="1"/>
  <c r="AW28" i="9"/>
  <c r="AK31" i="9"/>
  <c r="AT31" i="9" s="1"/>
  <c r="AL40" i="9"/>
  <c r="AU40" i="9" s="1"/>
  <c r="AL41" i="9"/>
  <c r="AU41" i="9" s="1"/>
  <c r="AW58" i="9"/>
  <c r="AL61" i="9"/>
  <c r="AU61" i="9" s="1"/>
  <c r="AL68" i="9"/>
  <c r="AU68" i="9" s="1"/>
  <c r="AK74" i="9"/>
  <c r="AT74" i="9" s="1"/>
  <c r="AL20" i="9"/>
  <c r="AU20" i="9" s="1"/>
  <c r="AK35" i="9"/>
  <c r="AT35" i="9" s="1"/>
  <c r="AS42" i="9"/>
  <c r="AK42" i="9"/>
  <c r="AT42" i="9" s="1"/>
  <c r="AK54" i="9"/>
  <c r="AT54" i="9" s="1"/>
  <c r="AW70" i="9"/>
  <c r="AQ74" i="9"/>
  <c r="AK21" i="9"/>
  <c r="AT21" i="9" s="1"/>
  <c r="AL34" i="9"/>
  <c r="AU34" i="9" s="1"/>
  <c r="AL53" i="9"/>
  <c r="AU53" i="9" s="1"/>
  <c r="AS57" i="9"/>
  <c r="AK57" i="9"/>
  <c r="AT57" i="9" s="1"/>
  <c r="AW77" i="9"/>
  <c r="J8" i="8" l="1"/>
  <c r="I8" i="8"/>
  <c r="K8" i="8"/>
  <c r="I7" i="8"/>
  <c r="J7" i="8"/>
  <c r="K7" i="8"/>
  <c r="I5" i="8"/>
  <c r="K5" i="8"/>
  <c r="J5" i="8"/>
  <c r="K4" i="8"/>
  <c r="J4" i="8"/>
  <c r="I6" i="8"/>
  <c r="J6" i="8"/>
  <c r="K6" i="8"/>
  <c r="AW41" i="9"/>
  <c r="AW34" i="9"/>
  <c r="AW64" i="9"/>
  <c r="K71" i="8"/>
  <c r="J71" i="8"/>
  <c r="I71" i="8"/>
  <c r="K72" i="8"/>
  <c r="J72" i="8"/>
  <c r="I72" i="8"/>
  <c r="K69" i="8"/>
  <c r="I69" i="8"/>
  <c r="J69" i="8"/>
  <c r="J16" i="8"/>
  <c r="I16" i="8"/>
  <c r="K16" i="8"/>
  <c r="K48" i="8"/>
  <c r="J48" i="8"/>
  <c r="I48" i="8"/>
  <c r="J50" i="8"/>
  <c r="I50" i="8"/>
  <c r="K50" i="8"/>
  <c r="K58" i="8"/>
  <c r="J58" i="8"/>
  <c r="I58" i="8"/>
  <c r="J60" i="8"/>
  <c r="K60" i="8"/>
  <c r="I60" i="8"/>
  <c r="J29" i="8"/>
  <c r="I29" i="8"/>
  <c r="K29" i="8"/>
  <c r="K42" i="8"/>
  <c r="J42" i="8"/>
  <c r="I42" i="8"/>
  <c r="K51" i="8"/>
  <c r="J51" i="8"/>
  <c r="I51" i="8"/>
  <c r="K28" i="8"/>
  <c r="J28" i="8"/>
  <c r="I38" i="8"/>
  <c r="K38" i="8"/>
  <c r="J38" i="8"/>
  <c r="I61" i="8"/>
  <c r="K61" i="8"/>
  <c r="J61" i="8"/>
  <c r="K17" i="8"/>
  <c r="J17" i="8"/>
  <c r="I17" i="8"/>
  <c r="K30" i="8"/>
  <c r="J30" i="8"/>
  <c r="I30" i="8"/>
  <c r="K62" i="8"/>
  <c r="J62" i="8"/>
  <c r="I62" i="8"/>
  <c r="K40" i="8"/>
  <c r="J40" i="8"/>
  <c r="I40" i="8"/>
  <c r="J18" i="8"/>
  <c r="I18" i="8"/>
  <c r="K18" i="8"/>
  <c r="K20" i="8"/>
  <c r="J20" i="8"/>
  <c r="I20" i="8"/>
  <c r="K73" i="8"/>
  <c r="I73" i="8"/>
  <c r="J73" i="8"/>
  <c r="I59" i="8"/>
  <c r="K59" i="8"/>
  <c r="J59" i="8"/>
  <c r="K39" i="8"/>
  <c r="J39" i="8"/>
  <c r="I39" i="8"/>
  <c r="K52" i="8"/>
  <c r="J52" i="8"/>
  <c r="I52" i="8"/>
  <c r="I19" i="8"/>
  <c r="J19" i="8"/>
  <c r="K19" i="8"/>
  <c r="J70" i="8"/>
  <c r="K70" i="8"/>
  <c r="I70" i="8"/>
  <c r="J49" i="8"/>
  <c r="K49" i="8"/>
  <c r="I49" i="8"/>
  <c r="I41" i="8"/>
  <c r="K41" i="8"/>
  <c r="J41" i="8"/>
  <c r="K32" i="8"/>
  <c r="J32" i="8"/>
  <c r="I32" i="8"/>
  <c r="K31" i="8"/>
  <c r="J31" i="8"/>
  <c r="I31" i="8"/>
  <c r="AW57" i="9"/>
  <c r="AW63" i="9"/>
  <c r="AW45" i="9"/>
  <c r="AW56" i="9"/>
  <c r="AW36" i="9"/>
  <c r="AW18" i="9"/>
  <c r="AW25" i="9"/>
  <c r="AW21" i="9"/>
  <c r="AW23" i="9"/>
  <c r="AW50" i="9"/>
  <c r="AW44" i="9"/>
  <c r="AW72" i="9"/>
  <c r="AW65" i="9"/>
  <c r="AW12" i="9"/>
  <c r="AW42" i="9"/>
  <c r="AW55" i="9"/>
  <c r="AW62" i="9"/>
  <c r="AW30" i="9"/>
  <c r="AW71" i="9"/>
  <c r="AW67" i="9"/>
  <c r="AW75" i="9"/>
  <c r="AW52" i="9"/>
  <c r="AW22" i="9"/>
  <c r="AW11" i="9"/>
  <c r="AW61" i="9"/>
  <c r="AW19" i="9"/>
  <c r="AW33" i="9"/>
  <c r="AW53" i="9"/>
  <c r="AW26" i="9"/>
  <c r="AW37" i="9"/>
  <c r="AW15" i="9"/>
  <c r="AW20" i="9"/>
  <c r="AW40" i="9"/>
  <c r="AW27" i="9"/>
  <c r="AW47" i="9"/>
  <c r="AW60" i="9"/>
  <c r="AW24" i="9"/>
  <c r="AW35" i="9"/>
  <c r="AW10" i="9"/>
  <c r="AW76" i="9"/>
  <c r="AW66" i="9"/>
  <c r="AW51" i="9"/>
  <c r="AW68" i="9"/>
  <c r="AW54" i="9"/>
  <c r="AW74" i="9"/>
  <c r="AW32" i="9"/>
  <c r="AW46" i="9"/>
  <c r="AW73" i="9"/>
  <c r="AW13" i="9"/>
  <c r="AW14" i="9"/>
  <c r="AW31" i="9"/>
</calcChain>
</file>

<file path=xl/sharedStrings.xml><?xml version="1.0" encoding="utf-8"?>
<sst xmlns="http://schemas.openxmlformats.org/spreadsheetml/2006/main" count="240" uniqueCount="108">
  <si>
    <t>Sorting numbers from largest to smallest</t>
  </si>
  <si>
    <t>Parameters</t>
  </si>
  <si>
    <t>HORSE RACES RESULT</t>
  </si>
  <si>
    <t>JOKEY RACES RESULT</t>
  </si>
  <si>
    <t>FATHER RACES RESULT</t>
  </si>
  <si>
    <t>MOTHER RAC ES RESULT</t>
  </si>
  <si>
    <t>MOTHER'S FATHER RACES RESULT</t>
  </si>
  <si>
    <t>RACING BREED</t>
  </si>
  <si>
    <t>WEIGHT</t>
  </si>
  <si>
    <t>EARNING</t>
  </si>
  <si>
    <t>AVERAGE PER RACE</t>
  </si>
  <si>
    <t>RACE QUANTITY</t>
  </si>
  <si>
    <t>TOPLAM</t>
  </si>
  <si>
    <t>1.</t>
  </si>
  <si>
    <t>2.</t>
  </si>
  <si>
    <t>3.</t>
  </si>
  <si>
    <t>4.</t>
  </si>
  <si>
    <t>HORSE POWER</t>
  </si>
  <si>
    <t>JOCKHEY POWER</t>
  </si>
  <si>
    <t>FATHET POWER</t>
  </si>
  <si>
    <t>MOTHER POWER</t>
  </si>
  <si>
    <t>MOTHER'S FATHER POWER</t>
  </si>
  <si>
    <t>PERDİGEE POWER</t>
  </si>
  <si>
    <t>EARNING POWER</t>
  </si>
  <si>
    <t>WEIGHT EFFECT</t>
  </si>
  <si>
    <t>Horse</t>
  </si>
  <si>
    <t>Jockey</t>
  </si>
  <si>
    <t xml:space="preserve">Father </t>
  </si>
  <si>
    <t xml:space="preserve">Mother </t>
  </si>
  <si>
    <t>Mother's Father</t>
  </si>
  <si>
    <t>Perdigee</t>
  </si>
  <si>
    <t>Earning</t>
  </si>
  <si>
    <t>Weight</t>
  </si>
  <si>
    <t>RAW SCORE</t>
  </si>
  <si>
    <t>HAND 16</t>
  </si>
  <si>
    <r>
      <t>HEKİMOĞLU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</si>
  <si>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DELİ YILDIRIM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</si>
  <si>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CANYURT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</si>
  <si>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HIZLI AYAK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</si>
  <si>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SADEKAR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</si>
  <si>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ALEVKIRAN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GKR</t>
    </r>
    <r>
      <rPr>
        <sz val="12"/>
        <color rgb="FF000000"/>
        <rFont val="Arial"/>
        <family val="2"/>
        <charset val="162"/>
      </rPr>
      <t> </t>
    </r>
  </si>
  <si>
    <r>
      <t>TURBODİZEL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</si>
  <si>
    <r>
      <t>ÇAĞLAYANŞELALE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</si>
  <si>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r>
      <t>HOSLİ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GKR</t>
    </r>
    <r>
      <rPr>
        <sz val="12"/>
        <color rgb="FF000000"/>
        <rFont val="Arial"/>
        <family val="2"/>
        <charset val="162"/>
      </rPr>
      <t> </t>
    </r>
  </si>
  <si>
    <r>
      <t>KUNYA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</si>
  <si>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t>HAND 17</t>
  </si>
  <si>
    <r>
      <t>OKLAHOMA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</si>
  <si>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ÇAKIR YILDIZI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GKR</t>
    </r>
    <r>
      <rPr>
        <sz val="12"/>
        <color rgb="FF000000"/>
        <rFont val="Arial"/>
        <family val="2"/>
        <charset val="162"/>
      </rPr>
      <t> </t>
    </r>
  </si>
  <si>
    <r>
      <t>ASLAN LUİGİ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</si>
  <si>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r>
      <t>KUMTEPER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SGKR</t>
    </r>
    <r>
      <rPr>
        <sz val="12"/>
        <color rgb="FF000000"/>
        <rFont val="Arial"/>
        <family val="2"/>
        <charset val="162"/>
      </rPr>
      <t> </t>
    </r>
  </si>
  <si>
    <r>
      <t>SWEPS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</si>
  <si>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FOUDROYANT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</si>
  <si>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r>
      <t>MR BIG SHOT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BB</t>
    </r>
    <r>
      <rPr>
        <sz val="12"/>
        <color rgb="FF000000"/>
        <rFont val="Arial"/>
        <family val="2"/>
        <charset val="162"/>
      </rPr>
      <t> </t>
    </r>
  </si>
  <si>
    <r>
      <t>SİLİSTRE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</si>
  <si>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r>
      <t>CATCH THE STARS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</si>
  <si>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KING OF THE WIN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</si>
  <si>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t>KV 9</t>
  </si>
  <si>
    <r>
      <t>AKUÇAN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</si>
  <si>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ASIL OĞUL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</si>
  <si>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DENİZBEYİM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 </t>
    </r>
  </si>
  <si>
    <r>
      <t>LUXOR BOY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</si>
  <si>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r>
      <t>ÖZTAMER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 </t>
    </r>
  </si>
  <si>
    <r>
      <t>UTKAN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</si>
  <si>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r>
      <t>YİĞİT BOYRAZ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</si>
  <si>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İĞDE AĞACI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</si>
  <si>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t>HAND 15</t>
  </si>
  <si>
    <r>
      <t>HATIR SAYAN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</si>
  <si>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TILISIM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</si>
  <si>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ASİ TAHA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</si>
  <si>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PİYANİST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</si>
  <si>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AFRAŞAH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</si>
  <si>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r>
      <t>MUTEBER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</si>
  <si>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OLİVA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</si>
  <si>
    <r>
      <t>BATI RÜZGARI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GKR</t>
    </r>
    <r>
      <rPr>
        <sz val="12"/>
        <color rgb="FF000000"/>
        <rFont val="Arial"/>
        <family val="2"/>
        <charset val="162"/>
      </rPr>
      <t> </t>
    </r>
  </si>
  <si>
    <r>
      <t>VALERIA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</si>
  <si>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SEASIDE SONG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</si>
  <si>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r>
      <t>MAKAWEE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</si>
  <si>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AMELİA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</si>
  <si>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MY SECRET LOVE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</si>
  <si>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ALAGİDİN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</si>
  <si>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GLOWMANE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SGKR</t>
    </r>
    <r>
      <rPr>
        <sz val="12"/>
        <color rgb="FF000000"/>
        <rFont val="Arial"/>
        <family val="2"/>
        <charset val="162"/>
      </rPr>
      <t> </t>
    </r>
  </si>
  <si>
    <r>
      <t>POWER OF LAV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</si>
  <si>
    <t>ŞARTLI 1</t>
  </si>
  <si>
    <t>ÇELİKOVİÇ</t>
  </si>
  <si>
    <r>
      <t>EGEMEN TAY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</si>
  <si>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r>
      <t>ERSANŞAH </t>
    </r>
    <r>
      <rPr>
        <vertAlign val="superscript"/>
        <sz val="12"/>
        <color rgb="FF008000"/>
        <rFont val="Arial"/>
        <family val="2"/>
        <charset val="162"/>
      </rPr>
      <t>K</t>
    </r>
    <r>
      <rPr>
        <sz val="12"/>
        <color rgb="FF000000"/>
        <rFont val="Arial"/>
        <family val="2"/>
        <charset val="162"/>
      </rPr>
      <t> </t>
    </r>
  </si>
  <si>
    <t>GÜRBÜZ TAY</t>
  </si>
  <si>
    <r>
      <t>HIZLI VEYSEL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</si>
  <si>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KARA ÖMER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</si>
  <si>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KRALKARINCA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</si>
  <si>
    <r>
      <t>KUTSOY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</si>
  <si>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YAĞIZHANBEY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</si>
  <si>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LEBRON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</si>
  <si>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FİÇİÇİÇU </t>
    </r>
    <r>
      <rPr>
        <vertAlign val="superscript"/>
        <sz val="12"/>
        <color rgb="FF008000"/>
        <rFont val="Arial"/>
        <family val="2"/>
        <charset val="162"/>
      </rPr>
      <t>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</si>
  <si>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EL TRANSCANTABRICO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</si>
  <si>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ÇAKIRLAR </t>
    </r>
    <r>
      <rPr>
        <vertAlign val="superscript"/>
        <sz val="12"/>
        <color rgb="FF008000"/>
        <rFont val="Arial"/>
        <family val="2"/>
        <charset val="162"/>
      </rPr>
      <t>DB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</si>
  <si>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r>
      <t>GIATRES </t>
    </r>
    <r>
      <rPr>
        <vertAlign val="superscript"/>
        <sz val="12"/>
        <color rgb="FF008000"/>
        <rFont val="Arial"/>
        <family val="2"/>
        <charset val="162"/>
      </rPr>
      <t>SKG</t>
    </r>
    <r>
      <rPr>
        <sz val="12"/>
        <color rgb="FF000000"/>
        <rFont val="Arial"/>
        <family val="2"/>
        <charset val="162"/>
      </rPr>
      <t> </t>
    </r>
    <r>
      <rPr>
        <vertAlign val="superscript"/>
        <sz val="12"/>
        <color rgb="FF008000"/>
        <rFont val="Arial"/>
        <family val="2"/>
        <charset val="162"/>
      </rPr>
      <t>SK</t>
    </r>
    <r>
      <rPr>
        <sz val="12"/>
        <color rgb="FF000000"/>
        <rFont val="Arial"/>
        <family val="2"/>
        <charset val="162"/>
      </rPr>
      <t> </t>
    </r>
  </si>
  <si>
    <t>KÜÇÜK</t>
  </si>
  <si>
    <t>ORTA</t>
  </si>
  <si>
    <t>BÜYÜK</t>
  </si>
  <si>
    <t xml:space="preserve">NO </t>
  </si>
  <si>
    <t>SCORE</t>
  </si>
  <si>
    <t>SMALL</t>
  </si>
  <si>
    <t>MEDIUM</t>
  </si>
  <si>
    <t>BIG</t>
  </si>
  <si>
    <t xml:space="preserve">SIRA </t>
  </si>
  <si>
    <r>
      <t>MUTEBER </t>
    </r>
    <r>
      <rPr>
        <vertAlign val="superscript"/>
        <sz val="12"/>
        <color theme="1"/>
        <rFont val="Arial"/>
        <family val="2"/>
        <charset val="162"/>
      </rPr>
      <t>KG</t>
    </r>
    <r>
      <rPr>
        <sz val="12"/>
        <color theme="1"/>
        <rFont val="Arial"/>
        <family val="2"/>
        <charset val="162"/>
      </rPr>
      <t> </t>
    </r>
    <r>
      <rPr>
        <vertAlign val="superscript"/>
        <sz val="12"/>
        <color theme="1"/>
        <rFont val="Arial"/>
        <family val="2"/>
        <charset val="162"/>
      </rPr>
      <t>DB</t>
    </r>
    <r>
      <rPr>
        <sz val="12"/>
        <color theme="1"/>
        <rFont val="Arial"/>
        <family val="2"/>
        <charset val="162"/>
      </rPr>
      <t> </t>
    </r>
    <r>
      <rPr>
        <vertAlign val="superscript"/>
        <sz val="12"/>
        <color theme="1"/>
        <rFont val="Arial"/>
        <family val="2"/>
        <charset val="162"/>
      </rPr>
      <t>SK</t>
    </r>
    <r>
      <rPr>
        <sz val="12"/>
        <color theme="1"/>
        <rFont val="Arial"/>
        <family val="2"/>
        <charset val="162"/>
      </rPr>
      <t> </t>
    </r>
  </si>
  <si>
    <r>
      <t>KARA ÖMER </t>
    </r>
    <r>
      <rPr>
        <vertAlign val="superscript"/>
        <sz val="12"/>
        <color theme="1"/>
        <rFont val="Arial"/>
        <family val="2"/>
        <charset val="162"/>
      </rPr>
      <t>SK</t>
    </r>
    <r>
      <rPr>
        <sz val="12"/>
        <color theme="1"/>
        <rFont val="Arial"/>
        <family val="2"/>
        <charset val="16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</si>
</sst>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&quot;₺&quot;"/>
  </numFmts>
  <fonts count="47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theme="1"/>
      <name val="Aptos"/>
    </font>
    <font>
      <sz val="14"/>
      <color theme="1"/>
      <name val="Aptos"/>
    </font>
    <font>
      <sz val="14"/>
      <color theme="1"/>
      <name val="-webkit-standard"/>
    </font>
    <font>
      <sz val="14"/>
      <color theme="1"/>
      <name val="Aptos Narrow"/>
    </font>
    <font>
      <sz val="14"/>
      <color rgb="FFFF0000"/>
      <name val="-webkit-standard"/>
    </font>
    <font>
      <i/>
      <sz val="14"/>
      <color theme="1"/>
      <name val="Aptos"/>
    </font>
    <font>
      <sz val="12"/>
      <color theme="1"/>
      <name val="Aptos Narrow"/>
    </font>
    <font>
      <b/>
      <sz val="12"/>
      <color rgb="FF404040"/>
      <name val="Arial"/>
      <family val="2"/>
      <charset val="162"/>
    </font>
    <font>
      <sz val="14"/>
      <name val="Arial"/>
      <family val="2"/>
      <charset val="162"/>
    </font>
    <font>
      <sz val="12"/>
      <name val="Arial"/>
      <family val="2"/>
      <charset val="162"/>
    </font>
    <font>
      <b/>
      <sz val="12"/>
      <color rgb="FF000000"/>
      <name val="Arial"/>
      <family val="2"/>
      <charset val="162"/>
    </font>
    <font>
      <b/>
      <sz val="12"/>
      <color theme="2" tint="-0.749992370372631"/>
      <name val="Arial"/>
      <family val="2"/>
      <charset val="162"/>
    </font>
    <font>
      <b/>
      <sz val="12"/>
      <color indexed="63"/>
      <name val="Arial"/>
      <family val="2"/>
      <charset val="162"/>
    </font>
    <font>
      <sz val="14"/>
      <color theme="1"/>
      <name val="Arial"/>
      <family val="2"/>
      <charset val="162"/>
    </font>
    <font>
      <sz val="14"/>
      <color theme="1"/>
      <name val="-webkit-standard"/>
      <charset val="162"/>
    </font>
    <font>
      <sz val="12"/>
      <color rgb="FF000000"/>
      <name val="Arial"/>
      <family val="2"/>
      <charset val="162"/>
    </font>
    <font>
      <sz val="12"/>
      <color rgb="FF1A1A1A"/>
      <name val="Arial"/>
      <family val="2"/>
      <charset val="162"/>
    </font>
    <font>
      <vertAlign val="superscript"/>
      <sz val="12"/>
      <color rgb="FF008000"/>
      <name val="Arial"/>
      <family val="2"/>
      <charset val="162"/>
    </font>
    <font>
      <b/>
      <sz val="12"/>
      <color rgb="FF1A1A1A"/>
      <name val="Arial"/>
      <family val="2"/>
      <charset val="162"/>
    </font>
    <font>
      <b/>
      <sz val="12"/>
      <color theme="1"/>
      <name val="Arial"/>
      <family val="2"/>
      <charset val="162"/>
    </font>
    <font>
      <sz val="12"/>
      <color rgb="FF404040"/>
      <name val="Arial"/>
      <family val="2"/>
      <charset val="162"/>
    </font>
    <font>
      <sz val="12"/>
      <color theme="1"/>
      <name val="Aptos Display"/>
      <charset val="162"/>
    </font>
    <font>
      <sz val="14"/>
      <color theme="1"/>
      <name val="Aptos Display"/>
      <charset val="162"/>
    </font>
    <font>
      <b/>
      <sz val="14"/>
      <color rgb="FF404040"/>
      <name val="Aptos Display"/>
      <charset val="162"/>
    </font>
    <font>
      <b/>
      <sz val="14"/>
      <color indexed="63"/>
      <name val="Aptos Display"/>
      <charset val="162"/>
    </font>
    <font>
      <b/>
      <sz val="14"/>
      <color rgb="FFFF0000"/>
      <name val="Aptos Display"/>
      <charset val="162"/>
    </font>
    <font>
      <b/>
      <sz val="14"/>
      <color rgb="FF1A1A1A"/>
      <name val="Aptos Display"/>
      <charset val="162"/>
    </font>
    <font>
      <sz val="14"/>
      <color rgb="FFFF0000"/>
      <name val="Aptos Display"/>
      <charset val="162"/>
    </font>
    <font>
      <sz val="8"/>
      <name val="Aptos Narrow"/>
      <family val="2"/>
      <charset val="162"/>
      <scheme val="minor"/>
    </font>
    <font>
      <b/>
      <sz val="12"/>
      <color indexed="63"/>
      <name val="Aptos Display"/>
      <charset val="162"/>
    </font>
    <font>
      <b/>
      <sz val="14"/>
      <color theme="1"/>
      <name val="Aptos"/>
    </font>
    <font>
      <b/>
      <sz val="12"/>
      <color theme="1"/>
      <name val="Aptos"/>
    </font>
    <font>
      <b/>
      <sz val="14"/>
      <color theme="1"/>
      <name val="-webkit-standard"/>
      <charset val="162"/>
    </font>
    <font>
      <b/>
      <sz val="14"/>
      <color rgb="FFFF0000"/>
      <name val="-webkit-standard"/>
      <charset val="162"/>
    </font>
    <font>
      <vertAlign val="superscript"/>
      <sz val="12"/>
      <color theme="1"/>
      <name val="Arial"/>
      <family val="2"/>
      <charset val="162"/>
    </font>
    <font>
      <sz val="12"/>
      <color theme="1"/>
      <name val="-webkit-standard"/>
    </font>
    <font>
      <b/>
      <sz val="12"/>
      <color rgb="FFFF0000"/>
      <name val="Aptos Display"/>
      <charset val="162"/>
    </font>
    <font>
      <sz val="12"/>
      <color rgb="FFFF0000"/>
      <name val="-webkit-standard"/>
      <charset val="162"/>
    </font>
    <font>
      <b/>
      <sz val="12"/>
      <color indexed="63"/>
      <name val="Aptos"/>
    </font>
    <font>
      <sz val="12"/>
      <color rgb="FF404040"/>
      <name val="Aptos"/>
    </font>
    <font>
      <sz val="12"/>
      <color rgb="FFFF0000"/>
      <name val="Aptos Display"/>
      <charset val="162"/>
    </font>
    <font>
      <b/>
      <sz val="12"/>
      <color rgb="FF1A1A1A"/>
      <name val="Aptos Display"/>
      <charset val="162"/>
    </font>
    <font>
      <b/>
      <sz val="12"/>
      <color rgb="FF404040"/>
      <name val="Aptos Display"/>
      <charset val="16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EECE1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0C4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theme="5" tint="0.399945066682943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7" fillId="0" borderId="0" xfId="0" applyFont="1"/>
    <xf numFmtId="9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164" fontId="12" fillId="4" borderId="0" xfId="0" applyNumberFormat="1" applyFont="1" applyFill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/>
    <xf numFmtId="1" fontId="18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/>
    <xf numFmtId="164" fontId="17" fillId="0" borderId="0" xfId="0" applyNumberFormat="1" applyFont="1" applyAlignment="1">
      <alignment horizontal="center" vertical="center"/>
    </xf>
    <xf numFmtId="2" fontId="8" fillId="7" borderId="0" xfId="0" applyNumberFormat="1" applyFont="1" applyFill="1"/>
    <xf numFmtId="0" fontId="19" fillId="8" borderId="0" xfId="0" applyFont="1" applyFill="1" applyAlignment="1">
      <alignment horizontal="center" vertical="center"/>
    </xf>
    <xf numFmtId="0" fontId="20" fillId="8" borderId="0" xfId="0" applyFont="1" applyFill="1"/>
    <xf numFmtId="0" fontId="19" fillId="9" borderId="0" xfId="0" applyFont="1" applyFill="1" applyAlignment="1">
      <alignment horizontal="center" vertical="center"/>
    </xf>
    <xf numFmtId="0" fontId="20" fillId="9" borderId="0" xfId="0" applyFont="1" applyFill="1"/>
    <xf numFmtId="0" fontId="14" fillId="0" borderId="0" xfId="0" applyFont="1" applyAlignment="1">
      <alignment horizontal="center" vertical="center" wrapText="1"/>
    </xf>
    <xf numFmtId="0" fontId="22" fillId="0" borderId="0" xfId="0" applyFont="1"/>
    <xf numFmtId="0" fontId="19" fillId="6" borderId="4" xfId="0" applyFont="1" applyFill="1" applyBorder="1" applyAlignment="1">
      <alignment horizontal="center" vertical="center" wrapText="1"/>
    </xf>
    <xf numFmtId="0" fontId="20" fillId="6" borderId="4" xfId="0" applyFont="1" applyFill="1" applyBorder="1"/>
    <xf numFmtId="0" fontId="19" fillId="8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6" borderId="0" xfId="0" applyFont="1" applyFill="1" applyAlignment="1">
      <alignment horizontal="left"/>
    </xf>
    <xf numFmtId="1" fontId="3" fillId="0" borderId="5" xfId="0" applyNumberFormat="1" applyFont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1" fontId="2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0" fillId="0" borderId="0" xfId="0" applyFont="1"/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25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/>
    </xf>
    <xf numFmtId="3" fontId="30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3" fontId="3" fillId="0" borderId="0" xfId="0" applyNumberFormat="1" applyFont="1" applyAlignment="1">
      <alignment vertical="center"/>
    </xf>
    <xf numFmtId="3" fontId="31" fillId="0" borderId="0" xfId="0" applyNumberFormat="1" applyFont="1" applyAlignment="1">
      <alignment horizontal="center"/>
    </xf>
    <xf numFmtId="3" fontId="0" fillId="0" borderId="0" xfId="0" applyNumberFormat="1"/>
    <xf numFmtId="3" fontId="3" fillId="6" borderId="0" xfId="0" applyNumberFormat="1" applyFont="1" applyFill="1" applyAlignment="1">
      <alignment horizontal="center" vertical="center"/>
    </xf>
    <xf numFmtId="3" fontId="3" fillId="8" borderId="0" xfId="0" applyNumberFormat="1" applyFont="1" applyFill="1" applyAlignment="1">
      <alignment horizontal="center" vertical="center"/>
    </xf>
    <xf numFmtId="3" fontId="3" fillId="9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center" vertical="center" wrapText="1"/>
    </xf>
    <xf numFmtId="3" fontId="3" fillId="8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3" fontId="3" fillId="9" borderId="0" xfId="0" applyNumberFormat="1" applyFont="1" applyFill="1" applyAlignment="1">
      <alignment horizontal="center" vertical="center" wrapText="1"/>
    </xf>
    <xf numFmtId="3" fontId="3" fillId="11" borderId="0" xfId="0" applyNumberFormat="1" applyFont="1" applyFill="1" applyAlignment="1">
      <alignment horizontal="center" vertical="center"/>
    </xf>
    <xf numFmtId="3" fontId="28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" fillId="11" borderId="0" xfId="0" applyFont="1" applyFill="1" applyAlignment="1">
      <alignment horizontal="center"/>
    </xf>
    <xf numFmtId="3" fontId="33" fillId="11" borderId="0" xfId="0" applyNumberFormat="1" applyFont="1" applyFill="1" applyAlignment="1">
      <alignment horizontal="center"/>
    </xf>
    <xf numFmtId="1" fontId="2" fillId="0" borderId="0" xfId="0" applyNumberFormat="1" applyFont="1"/>
    <xf numFmtId="0" fontId="25" fillId="11" borderId="0" xfId="0" applyFont="1" applyFill="1" applyAlignment="1">
      <alignment horizontal="center"/>
    </xf>
    <xf numFmtId="1" fontId="34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35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3" fontId="3" fillId="12" borderId="0" xfId="0" applyNumberFormat="1" applyFont="1" applyFill="1" applyAlignment="1">
      <alignment horizontal="center" vertical="center" wrapText="1"/>
    </xf>
    <xf numFmtId="0" fontId="20" fillId="12" borderId="0" xfId="0" applyFont="1" applyFill="1"/>
    <xf numFmtId="3" fontId="26" fillId="12" borderId="0" xfId="0" applyNumberFormat="1" applyFont="1" applyFill="1" applyAlignment="1">
      <alignment horizontal="center"/>
    </xf>
    <xf numFmtId="0" fontId="3" fillId="12" borderId="0" xfId="0" applyFont="1" applyFill="1"/>
    <xf numFmtId="3" fontId="3" fillId="13" borderId="0" xfId="0" applyNumberFormat="1" applyFont="1" applyFill="1" applyAlignment="1">
      <alignment horizontal="center" vertical="center" wrapText="1"/>
    </xf>
    <xf numFmtId="0" fontId="20" fillId="13" borderId="0" xfId="0" applyFont="1" applyFill="1"/>
    <xf numFmtId="3" fontId="26" fillId="13" borderId="0" xfId="0" applyNumberFormat="1" applyFont="1" applyFill="1" applyAlignment="1">
      <alignment horizontal="center"/>
    </xf>
    <xf numFmtId="3" fontId="3" fillId="13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13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3" fontId="42" fillId="10" borderId="13" xfId="0" applyNumberFormat="1" applyFont="1" applyFill="1" applyBorder="1" applyAlignment="1">
      <alignment horizontal="center"/>
    </xf>
    <xf numFmtId="3" fontId="42" fillId="10" borderId="14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3" fontId="44" fillId="0" borderId="0" xfId="0" applyNumberFormat="1" applyFont="1" applyAlignment="1">
      <alignment horizontal="center"/>
    </xf>
    <xf numFmtId="3" fontId="45" fillId="0" borderId="0" xfId="0" applyNumberFormat="1" applyFont="1" applyAlignment="1">
      <alignment horizontal="center"/>
    </xf>
    <xf numFmtId="3" fontId="46" fillId="0" borderId="0" xfId="0" applyNumberFormat="1" applyFont="1" applyAlignment="1">
      <alignment horizontal="center"/>
    </xf>
    <xf numFmtId="3" fontId="40" fillId="0" borderId="0" xfId="0" applyNumberFormat="1" applyFont="1" applyAlignment="1">
      <alignment horizontal="center"/>
    </xf>
    <xf numFmtId="2" fontId="8" fillId="3" borderId="3" xfId="0" applyNumberFormat="1" applyFont="1" applyFill="1" applyBorder="1" applyAlignment="1">
      <alignment horizontal="center"/>
    </xf>
    <xf numFmtId="2" fontId="8" fillId="3" borderId="0" xfId="0" applyNumberFormat="1" applyFont="1" applyFill="1" applyAlignment="1">
      <alignment horizontal="center"/>
    </xf>
    <xf numFmtId="2" fontId="8" fillId="3" borderId="10" xfId="0" applyNumberFormat="1" applyFont="1" applyFill="1" applyBorder="1" applyAlignment="1">
      <alignment horizontal="center"/>
    </xf>
    <xf numFmtId="4" fontId="3" fillId="0" borderId="11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vertical="center"/>
    </xf>
    <xf numFmtId="4" fontId="3" fillId="0" borderId="12" xfId="0" applyNumberFormat="1" applyFont="1" applyBorder="1" applyAlignment="1">
      <alignment vertical="center"/>
    </xf>
    <xf numFmtId="4" fontId="19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vertical="center"/>
    </xf>
    <xf numFmtId="4" fontId="19" fillId="0" borderId="0" xfId="0" applyNumberFormat="1" applyFont="1" applyAlignment="1">
      <alignment horizontal="left" vertical="center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3" fontId="3" fillId="0" borderId="0" xfId="0" applyNumberFormat="1" applyFont="1" applyFill="1" applyAlignment="1">
      <alignment horizontal="center" vertical="center" wrapText="1"/>
    </xf>
    <xf numFmtId="0" fontId="20" fillId="0" borderId="0" xfId="0" applyFont="1" applyFill="1"/>
    <xf numFmtId="3" fontId="26" fillId="0" borderId="0" xfId="0" applyNumberFormat="1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 vertical="center" wrapText="1"/>
    </xf>
    <xf numFmtId="2" fontId="8" fillId="3" borderId="7" xfId="0" applyNumberFormat="1" applyFont="1" applyFill="1" applyBorder="1" applyAlignment="1">
      <alignment horizontal="center"/>
    </xf>
    <xf numFmtId="2" fontId="8" fillId="3" borderId="8" xfId="0" applyNumberFormat="1" applyFont="1" applyFill="1" applyBorder="1" applyAlignment="1">
      <alignment horizontal="center"/>
    </xf>
    <xf numFmtId="2" fontId="8" fillId="3" borderId="9" xfId="0" applyNumberFormat="1" applyFont="1" applyFill="1" applyBorder="1" applyAlignment="1">
      <alignment horizontal="center"/>
    </xf>
    <xf numFmtId="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" name="Picture 2" descr="https://medya-cdn.tjk.org/imageftp/Img/e1.gif">
          <a:extLst>
            <a:ext uri="{FF2B5EF4-FFF2-40B4-BE49-F238E27FC236}">
              <a16:creationId xmlns:a16="http://schemas.microsoft.com/office/drawing/2014/main" id="{A0816D96-383A-164D-ADC0-D3FDFA89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3" name="Picture 5" descr="https://medya-cdn.tjk.org/imageftp/Img/e1.gif">
          <a:extLst>
            <a:ext uri="{FF2B5EF4-FFF2-40B4-BE49-F238E27FC236}">
              <a16:creationId xmlns:a16="http://schemas.microsoft.com/office/drawing/2014/main" id="{66A8934F-B0A8-344B-9034-B31C3EE7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4" name="Picture 6" descr="https://medya-cdn.tjk.org/imageftp/Img/e1.gif">
          <a:extLst>
            <a:ext uri="{FF2B5EF4-FFF2-40B4-BE49-F238E27FC236}">
              <a16:creationId xmlns:a16="http://schemas.microsoft.com/office/drawing/2014/main" id="{B853C165-9532-3446-8F86-778250534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392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5" name="Picture 7" descr="https://medya-cdn.tjk.org/imageftp/Img/e1.gif">
          <a:extLst>
            <a:ext uri="{FF2B5EF4-FFF2-40B4-BE49-F238E27FC236}">
              <a16:creationId xmlns:a16="http://schemas.microsoft.com/office/drawing/2014/main" id="{B7F51224-16E8-9946-BACB-F7D26114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875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6" name="Picture 4" descr="https://medya-cdn.tjk.org/imageftp/Img/e1.gif">
          <a:extLst>
            <a:ext uri="{FF2B5EF4-FFF2-40B4-BE49-F238E27FC236}">
              <a16:creationId xmlns:a16="http://schemas.microsoft.com/office/drawing/2014/main" id="{8F582320-5EC3-D347-9103-D3E6CEFD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4447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7" name="Picture 9" descr="https://medya-cdn.tjk.org/imageftp/Img/e1.gif">
          <a:extLst>
            <a:ext uri="{FF2B5EF4-FFF2-40B4-BE49-F238E27FC236}">
              <a16:creationId xmlns:a16="http://schemas.microsoft.com/office/drawing/2014/main" id="{84511B9F-F188-7B49-AA6D-5ADF440C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710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8" name="Picture 2" descr="https://medya-cdn.tjk.org/imageftp/Img/e1.gif">
          <a:extLst>
            <a:ext uri="{FF2B5EF4-FFF2-40B4-BE49-F238E27FC236}">
              <a16:creationId xmlns:a16="http://schemas.microsoft.com/office/drawing/2014/main" id="{0F191C80-8C9F-6149-8E67-AF89B973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9" name="Picture 5" descr="https://medya-cdn.tjk.org/imageftp/Img/e1.gif">
          <a:extLst>
            <a:ext uri="{FF2B5EF4-FFF2-40B4-BE49-F238E27FC236}">
              <a16:creationId xmlns:a16="http://schemas.microsoft.com/office/drawing/2014/main" id="{12B47E62-F077-D543-AE4F-9A52C2C4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10" name="Picture 12" descr="https://medya-cdn.tjk.org/imageftp/Img/e1.gif">
          <a:extLst>
            <a:ext uri="{FF2B5EF4-FFF2-40B4-BE49-F238E27FC236}">
              <a16:creationId xmlns:a16="http://schemas.microsoft.com/office/drawing/2014/main" id="{E72A3964-1327-E14F-8252-1194CA180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11" name="Picture 12" descr="https://medya-cdn.tjk.org/imageftp/Img/e1.gif">
          <a:extLst>
            <a:ext uri="{FF2B5EF4-FFF2-40B4-BE49-F238E27FC236}">
              <a16:creationId xmlns:a16="http://schemas.microsoft.com/office/drawing/2014/main" id="{F360FD40-C3C9-FA4F-B5DC-9534E62A7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12" name="Picture 12" descr="https://medya-cdn.tjk.org/imageftp/Img/e1.gif">
          <a:extLst>
            <a:ext uri="{FF2B5EF4-FFF2-40B4-BE49-F238E27FC236}">
              <a16:creationId xmlns:a16="http://schemas.microsoft.com/office/drawing/2014/main" id="{CB8D1EA8-A921-0544-B461-B45FEB70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13" name="Picture 12" descr="https://medya-cdn.tjk.org/imageftp/Img/e1.gif">
          <a:extLst>
            <a:ext uri="{FF2B5EF4-FFF2-40B4-BE49-F238E27FC236}">
              <a16:creationId xmlns:a16="http://schemas.microsoft.com/office/drawing/2014/main" id="{E02FED40-2360-E840-BBDD-EBB5A472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14" name="Picture 2" descr="https://medya-cdn.tjk.org/imageftp/Img/e1.gif">
          <a:extLst>
            <a:ext uri="{FF2B5EF4-FFF2-40B4-BE49-F238E27FC236}">
              <a16:creationId xmlns:a16="http://schemas.microsoft.com/office/drawing/2014/main" id="{498DE895-00BA-DB42-B1A1-81BFD338E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15" name="Picture 5" descr="https://medya-cdn.tjk.org/imageftp/Img/e1.gif">
          <a:extLst>
            <a:ext uri="{FF2B5EF4-FFF2-40B4-BE49-F238E27FC236}">
              <a16:creationId xmlns:a16="http://schemas.microsoft.com/office/drawing/2014/main" id="{9B07BA69-CB82-C04B-B301-D0888588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16" name="Picture 2" descr="https://medya-cdn.tjk.org/imageftp/Img/e1.gif">
          <a:extLst>
            <a:ext uri="{FF2B5EF4-FFF2-40B4-BE49-F238E27FC236}">
              <a16:creationId xmlns:a16="http://schemas.microsoft.com/office/drawing/2014/main" id="{2CA02872-9091-9E4E-BC74-4E14F982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17" name="Picture 5" descr="https://medya-cdn.tjk.org/imageftp/Img/e1.gif">
          <a:extLst>
            <a:ext uri="{FF2B5EF4-FFF2-40B4-BE49-F238E27FC236}">
              <a16:creationId xmlns:a16="http://schemas.microsoft.com/office/drawing/2014/main" id="{05EC8C47-4202-D54B-ACDE-6FE689CA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18" name="Picture 2" descr="https://medya-cdn.tjk.org/imageftp/Img/e1.gif">
          <a:extLst>
            <a:ext uri="{FF2B5EF4-FFF2-40B4-BE49-F238E27FC236}">
              <a16:creationId xmlns:a16="http://schemas.microsoft.com/office/drawing/2014/main" id="{6D9756A0-FD52-6049-AD13-19B2C4416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19" name="Picture 5" descr="https://medya-cdn.tjk.org/imageftp/Img/e1.gif">
          <a:extLst>
            <a:ext uri="{FF2B5EF4-FFF2-40B4-BE49-F238E27FC236}">
              <a16:creationId xmlns:a16="http://schemas.microsoft.com/office/drawing/2014/main" id="{55EA26E2-620B-F84F-BEFF-908D14AA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0" name="Picture 6" descr="https://medya-cdn.tjk.org/imageftp/Img/e1.gif">
          <a:extLst>
            <a:ext uri="{FF2B5EF4-FFF2-40B4-BE49-F238E27FC236}">
              <a16:creationId xmlns:a16="http://schemas.microsoft.com/office/drawing/2014/main" id="{325796C0-BC3A-7041-A96E-FC99D05D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392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1" name="Picture 7" descr="https://medya-cdn.tjk.org/imageftp/Img/e1.gif">
          <a:extLst>
            <a:ext uri="{FF2B5EF4-FFF2-40B4-BE49-F238E27FC236}">
              <a16:creationId xmlns:a16="http://schemas.microsoft.com/office/drawing/2014/main" id="{6A135DA3-460F-1844-A460-1F8711D7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875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2" name="Picture 4" descr="https://medya-cdn.tjk.org/imageftp/Img/e1.gif">
          <a:extLst>
            <a:ext uri="{FF2B5EF4-FFF2-40B4-BE49-F238E27FC236}">
              <a16:creationId xmlns:a16="http://schemas.microsoft.com/office/drawing/2014/main" id="{E7F1BA90-BA2F-C349-B529-B69370674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4447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3" name="Picture 9" descr="https://medya-cdn.tjk.org/imageftp/Img/e1.gif">
          <a:extLst>
            <a:ext uri="{FF2B5EF4-FFF2-40B4-BE49-F238E27FC236}">
              <a16:creationId xmlns:a16="http://schemas.microsoft.com/office/drawing/2014/main" id="{CCD88274-478B-0F4F-91A0-4E6D50BB6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710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891540</xdr:colOff>
      <xdr:row>77</xdr:row>
      <xdr:rowOff>0</xdr:rowOff>
    </xdr:from>
    <xdr:to>
      <xdr:col>1</xdr:col>
      <xdr:colOff>891540</xdr:colOff>
      <xdr:row>80</xdr:row>
      <xdr:rowOff>128463</xdr:rowOff>
    </xdr:to>
    <xdr:pic>
      <xdr:nvPicPr>
        <xdr:cNvPr id="24" name="Picture 48" descr="https://medya-cdn.tjk.org/imageftp/Img/e1.gif">
          <a:extLst>
            <a:ext uri="{FF2B5EF4-FFF2-40B4-BE49-F238E27FC236}">
              <a16:creationId xmlns:a16="http://schemas.microsoft.com/office/drawing/2014/main" id="{5D0EF912-23A6-A340-8EF3-221CA244B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9540" y="42230040"/>
          <a:ext cx="0" cy="70419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937260</xdr:colOff>
      <xdr:row>77</xdr:row>
      <xdr:rowOff>0</xdr:rowOff>
    </xdr:from>
    <xdr:to>
      <xdr:col>1</xdr:col>
      <xdr:colOff>937260</xdr:colOff>
      <xdr:row>77</xdr:row>
      <xdr:rowOff>144780</xdr:rowOff>
    </xdr:to>
    <xdr:pic>
      <xdr:nvPicPr>
        <xdr:cNvPr id="25" name="Picture 61" descr="https://medya-cdn.tjk.org/imageftp/Img/e2.gif">
          <a:extLst>
            <a:ext uri="{FF2B5EF4-FFF2-40B4-BE49-F238E27FC236}">
              <a16:creationId xmlns:a16="http://schemas.microsoft.com/office/drawing/2014/main" id="{EC2E2D85-BB66-7C42-834D-EA4E806B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5260" y="4522216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998220</xdr:colOff>
      <xdr:row>77</xdr:row>
      <xdr:rowOff>0</xdr:rowOff>
    </xdr:from>
    <xdr:to>
      <xdr:col>1</xdr:col>
      <xdr:colOff>998220</xdr:colOff>
      <xdr:row>77</xdr:row>
      <xdr:rowOff>144780</xdr:rowOff>
    </xdr:to>
    <xdr:pic>
      <xdr:nvPicPr>
        <xdr:cNvPr id="26" name="Picture 64" descr="https://medya-cdn.tjk.org/imageftp/Img/e1.gif">
          <a:extLst>
            <a:ext uri="{FF2B5EF4-FFF2-40B4-BE49-F238E27FC236}">
              <a16:creationId xmlns:a16="http://schemas.microsoft.com/office/drawing/2014/main" id="{0C1ED814-345B-C644-89B8-C228FD21F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6220" y="4568952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1074420</xdr:colOff>
      <xdr:row>77</xdr:row>
      <xdr:rowOff>0</xdr:rowOff>
    </xdr:from>
    <xdr:to>
      <xdr:col>1</xdr:col>
      <xdr:colOff>1074420</xdr:colOff>
      <xdr:row>77</xdr:row>
      <xdr:rowOff>144780</xdr:rowOff>
    </xdr:to>
    <xdr:pic>
      <xdr:nvPicPr>
        <xdr:cNvPr id="27" name="Picture 68" descr="https://medya-cdn.tjk.org/imageftp/Img/e2.gif">
          <a:extLst>
            <a:ext uri="{FF2B5EF4-FFF2-40B4-BE49-F238E27FC236}">
              <a16:creationId xmlns:a16="http://schemas.microsoft.com/office/drawing/2014/main" id="{B524235C-0567-BB45-B8D2-3360A14E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82420" y="4642866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1085850</xdr:colOff>
      <xdr:row>77</xdr:row>
      <xdr:rowOff>141991</xdr:rowOff>
    </xdr:to>
    <xdr:pic>
      <xdr:nvPicPr>
        <xdr:cNvPr id="28" name="Picture 1" descr="https://medya-cdn.tjk.org/imageftp/Img/e1.gif">
          <a:extLst>
            <a:ext uri="{FF2B5EF4-FFF2-40B4-BE49-F238E27FC236}">
              <a16:creationId xmlns:a16="http://schemas.microsoft.com/office/drawing/2014/main" id="{73F906B8-8233-6B47-96A6-063B7F5C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79197200"/>
          <a:ext cx="200025" cy="14199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1019175</xdr:colOff>
      <xdr:row>77</xdr:row>
      <xdr:rowOff>142875</xdr:rowOff>
    </xdr:to>
    <xdr:pic>
      <xdr:nvPicPr>
        <xdr:cNvPr id="29" name="Picture 12" descr="https://medya-cdn.tjk.org/imageftp/Img/e1.gif">
          <a:extLst>
            <a:ext uri="{FF2B5EF4-FFF2-40B4-BE49-F238E27FC236}">
              <a16:creationId xmlns:a16="http://schemas.microsoft.com/office/drawing/2014/main" id="{8A5918C3-ED8E-6E46-89FB-2CAF3A4A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81822925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30" name="Picture 16" descr="https://medya-cdn.tjk.org/imageftp/Img/e1.gif">
          <a:extLst>
            <a:ext uri="{FF2B5EF4-FFF2-40B4-BE49-F238E27FC236}">
              <a16:creationId xmlns:a16="http://schemas.microsoft.com/office/drawing/2014/main" id="{755AC661-054F-5649-87D6-AA614EE7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31" name="Picture 18" descr="https://medya-cdn.tjk.org/imageftp/Img/e1.gif">
          <a:extLst>
            <a:ext uri="{FF2B5EF4-FFF2-40B4-BE49-F238E27FC236}">
              <a16:creationId xmlns:a16="http://schemas.microsoft.com/office/drawing/2014/main" id="{5F80146F-E31D-6549-A5E7-DDBC0ACE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32" name="Picture 12" descr="https://medya-cdn.tjk.org/imageftp/Img/e1.gif">
          <a:extLst>
            <a:ext uri="{FF2B5EF4-FFF2-40B4-BE49-F238E27FC236}">
              <a16:creationId xmlns:a16="http://schemas.microsoft.com/office/drawing/2014/main" id="{DBD57FF2-B984-7841-AE9D-8FA09269F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33" name="Picture 15" descr="https://medya-cdn.tjk.org/imageftp/Img/e1.gif">
          <a:extLst>
            <a:ext uri="{FF2B5EF4-FFF2-40B4-BE49-F238E27FC236}">
              <a16:creationId xmlns:a16="http://schemas.microsoft.com/office/drawing/2014/main" id="{51E3F751-7754-2B4D-8F0E-6443783D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1150620</xdr:colOff>
      <xdr:row>77</xdr:row>
      <xdr:rowOff>0</xdr:rowOff>
    </xdr:from>
    <xdr:to>
      <xdr:col>1</xdr:col>
      <xdr:colOff>1272540</xdr:colOff>
      <xdr:row>77</xdr:row>
      <xdr:rowOff>144780</xdr:rowOff>
    </xdr:to>
    <xdr:pic>
      <xdr:nvPicPr>
        <xdr:cNvPr id="34" name="Picture 48" descr="https://medya-cdn.tjk.org/imageftp/Img/e1.gif">
          <a:extLst>
            <a:ext uri="{FF2B5EF4-FFF2-40B4-BE49-F238E27FC236}">
              <a16:creationId xmlns:a16="http://schemas.microsoft.com/office/drawing/2014/main" id="{4C0C6234-BE39-E547-8A08-1820ED3D6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58620" y="116387880"/>
          <a:ext cx="1219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1181100</xdr:colOff>
      <xdr:row>77</xdr:row>
      <xdr:rowOff>0</xdr:rowOff>
    </xdr:from>
    <xdr:to>
      <xdr:col>1</xdr:col>
      <xdr:colOff>1303020</xdr:colOff>
      <xdr:row>77</xdr:row>
      <xdr:rowOff>144780</xdr:rowOff>
    </xdr:to>
    <xdr:pic>
      <xdr:nvPicPr>
        <xdr:cNvPr id="35" name="Picture 48" descr="https://medya-cdn.tjk.org/imageftp/Img/e1.gif">
          <a:extLst>
            <a:ext uri="{FF2B5EF4-FFF2-40B4-BE49-F238E27FC236}">
              <a16:creationId xmlns:a16="http://schemas.microsoft.com/office/drawing/2014/main" id="{0E5CC68B-39B9-DB4D-ACFA-D9E414AA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9100" y="117088920"/>
          <a:ext cx="1219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150283</xdr:rowOff>
    </xdr:to>
    <xdr:sp macro="" textlink="">
      <xdr:nvSpPr>
        <xdr:cNvPr id="36" name="AutoShape 3" descr="https://medya-cdn.tjk.org/imageftp/Img/e1.gif">
          <a:extLst>
            <a:ext uri="{FF2B5EF4-FFF2-40B4-BE49-F238E27FC236}">
              <a16:creationId xmlns:a16="http://schemas.microsoft.com/office/drawing/2014/main" id="{3753A6FC-3125-EC47-B056-9CC581F4BF4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18046500"/>
          <a:ext cx="304800" cy="75988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37" name="Picture 1" descr="https://medya-cdn.tjk.org/imageftp/Img/e1.gif">
          <a:extLst>
            <a:ext uri="{FF2B5EF4-FFF2-40B4-BE49-F238E27FC236}">
              <a16:creationId xmlns:a16="http://schemas.microsoft.com/office/drawing/2014/main" id="{043A815B-C793-6641-A893-ADF79BEB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38" name="Picture 1" descr="https://medya-cdn.tjk.org/imageftp/Img/e1.gif">
          <a:extLst>
            <a:ext uri="{FF2B5EF4-FFF2-40B4-BE49-F238E27FC236}">
              <a16:creationId xmlns:a16="http://schemas.microsoft.com/office/drawing/2014/main" id="{597A0D4E-1D37-7E42-8B0D-46079902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39" name="Picture 1" descr="https://medya-cdn.tjk.org/imageftp/Img/e1.gif">
          <a:extLst>
            <a:ext uri="{FF2B5EF4-FFF2-40B4-BE49-F238E27FC236}">
              <a16:creationId xmlns:a16="http://schemas.microsoft.com/office/drawing/2014/main" id="{48944AE2-8C60-AF4D-BE3D-C2013A9B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0" name="Picture 1" descr="https://medya-cdn.tjk.org/imageftp/Img/e1.gif">
          <a:extLst>
            <a:ext uri="{FF2B5EF4-FFF2-40B4-BE49-F238E27FC236}">
              <a16:creationId xmlns:a16="http://schemas.microsoft.com/office/drawing/2014/main" id="{8E8EAA5C-5E89-A64E-90B2-9452D603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1" name="Picture 1" descr="https://medya-cdn.tjk.org/imageftp/Img/e1.gif">
          <a:extLst>
            <a:ext uri="{FF2B5EF4-FFF2-40B4-BE49-F238E27FC236}">
              <a16:creationId xmlns:a16="http://schemas.microsoft.com/office/drawing/2014/main" id="{2D8D7862-1A60-6749-90A3-D6899732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2" name="Picture 1" descr="https://medya-cdn.tjk.org/imageftp/Img/e1.gif">
          <a:extLst>
            <a:ext uri="{FF2B5EF4-FFF2-40B4-BE49-F238E27FC236}">
              <a16:creationId xmlns:a16="http://schemas.microsoft.com/office/drawing/2014/main" id="{3E4585BD-C30D-754B-AEC0-3996EAD13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3" name="Picture 1" descr="https://medya-cdn.tjk.org/imageftp/Img/e1.gif">
          <a:extLst>
            <a:ext uri="{FF2B5EF4-FFF2-40B4-BE49-F238E27FC236}">
              <a16:creationId xmlns:a16="http://schemas.microsoft.com/office/drawing/2014/main" id="{7D882848-F28C-F140-9748-B5B1B6F8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4" name="Picture 1" descr="https://medya-cdn.tjk.org/imageftp/Img/e1.gif">
          <a:extLst>
            <a:ext uri="{FF2B5EF4-FFF2-40B4-BE49-F238E27FC236}">
              <a16:creationId xmlns:a16="http://schemas.microsoft.com/office/drawing/2014/main" id="{81E70AB9-0CD7-D449-89B6-515904C6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5" name="Picture 1" descr="https://medya-cdn.tjk.org/imageftp/Img/e1.gif">
          <a:extLst>
            <a:ext uri="{FF2B5EF4-FFF2-40B4-BE49-F238E27FC236}">
              <a16:creationId xmlns:a16="http://schemas.microsoft.com/office/drawing/2014/main" id="{A983EE75-3320-D945-B404-18319E75B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6" name="Picture 1" descr="https://medya-cdn.tjk.org/imageftp/Img/e1.gif">
          <a:extLst>
            <a:ext uri="{FF2B5EF4-FFF2-40B4-BE49-F238E27FC236}">
              <a16:creationId xmlns:a16="http://schemas.microsoft.com/office/drawing/2014/main" id="{EA6E2F7B-7838-F94D-9E3C-7F8BA4CF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7" name="Picture 1" descr="https://medya-cdn.tjk.org/imageftp/Img/e1.gif">
          <a:extLst>
            <a:ext uri="{FF2B5EF4-FFF2-40B4-BE49-F238E27FC236}">
              <a16:creationId xmlns:a16="http://schemas.microsoft.com/office/drawing/2014/main" id="{D3EDF359-8060-204A-B008-2CAF6082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8" name="Picture 1" descr="https://medya-cdn.tjk.org/imageftp/Img/e1.gif">
          <a:extLst>
            <a:ext uri="{FF2B5EF4-FFF2-40B4-BE49-F238E27FC236}">
              <a16:creationId xmlns:a16="http://schemas.microsoft.com/office/drawing/2014/main" id="{DBB9EB14-3F5F-2D49-B419-751E8A263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49" name="Picture 1" descr="https://medya-cdn.tjk.org/imageftp/Img/e1.gif">
          <a:extLst>
            <a:ext uri="{FF2B5EF4-FFF2-40B4-BE49-F238E27FC236}">
              <a16:creationId xmlns:a16="http://schemas.microsoft.com/office/drawing/2014/main" id="{63DE1B6B-7A9A-7344-A3CA-C96E37CB5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50" name="Picture 1" descr="https://medya-cdn.tjk.org/imageftp/Img/e1.gif">
          <a:extLst>
            <a:ext uri="{FF2B5EF4-FFF2-40B4-BE49-F238E27FC236}">
              <a16:creationId xmlns:a16="http://schemas.microsoft.com/office/drawing/2014/main" id="{A7A07038-0462-FC47-AF94-1F3E2F7A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51" name="Picture 1" descr="https://medya-cdn.tjk.org/imageftp/Img/e1.gif">
          <a:extLst>
            <a:ext uri="{FF2B5EF4-FFF2-40B4-BE49-F238E27FC236}">
              <a16:creationId xmlns:a16="http://schemas.microsoft.com/office/drawing/2014/main" id="{03414C21-3777-E140-8EE9-C709816AC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52" name="Picture 1" descr="https://medya-cdn.tjk.org/imageftp/Img/e1.gif">
          <a:extLst>
            <a:ext uri="{FF2B5EF4-FFF2-40B4-BE49-F238E27FC236}">
              <a16:creationId xmlns:a16="http://schemas.microsoft.com/office/drawing/2014/main" id="{8B1A8120-9974-E340-8854-E2F2D266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53" name="Picture 3" descr="https://medya-cdn.tjk.org/imageftp/Img/e1.gif">
          <a:extLst>
            <a:ext uri="{FF2B5EF4-FFF2-40B4-BE49-F238E27FC236}">
              <a16:creationId xmlns:a16="http://schemas.microsoft.com/office/drawing/2014/main" id="{B27F0DAC-051D-0D4F-9B84-C988A403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19253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54" name="Picture 7" descr="https://medya-cdn.tjk.org/imageftp/Img/e1.gif">
          <a:extLst>
            <a:ext uri="{FF2B5EF4-FFF2-40B4-BE49-F238E27FC236}">
              <a16:creationId xmlns:a16="http://schemas.microsoft.com/office/drawing/2014/main" id="{3935112A-214D-E247-ADB2-B0A56A13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20218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55" name="Picture 3" descr="https://medya-cdn.tjk.org/imageftp/Img/e1.gif">
          <a:extLst>
            <a:ext uri="{FF2B5EF4-FFF2-40B4-BE49-F238E27FC236}">
              <a16:creationId xmlns:a16="http://schemas.microsoft.com/office/drawing/2014/main" id="{A8A3C476-0349-7640-A9FA-E2BAA083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19253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56" name="Picture 7" descr="https://medya-cdn.tjk.org/imageftp/Img/e1.gif">
          <a:extLst>
            <a:ext uri="{FF2B5EF4-FFF2-40B4-BE49-F238E27FC236}">
              <a16:creationId xmlns:a16="http://schemas.microsoft.com/office/drawing/2014/main" id="{F7BDC22A-094B-534C-8ED9-32399AD3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20218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57" name="Picture 1" descr="https://medya-cdn.tjk.org/imageftp/Img/e1.gif">
          <a:extLst>
            <a:ext uri="{FF2B5EF4-FFF2-40B4-BE49-F238E27FC236}">
              <a16:creationId xmlns:a16="http://schemas.microsoft.com/office/drawing/2014/main" id="{48FB5731-A480-EE4C-8B4E-3237DC59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58" name="Picture 1" descr="https://medya-cdn.tjk.org/imageftp/Img/e1.gif">
          <a:extLst>
            <a:ext uri="{FF2B5EF4-FFF2-40B4-BE49-F238E27FC236}">
              <a16:creationId xmlns:a16="http://schemas.microsoft.com/office/drawing/2014/main" id="{85214FD9-DA0E-0242-BDFF-FE1C8CF6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59" name="Picture 1" descr="https://medya-cdn.tjk.org/imageftp/Img/e1.gif">
          <a:extLst>
            <a:ext uri="{FF2B5EF4-FFF2-40B4-BE49-F238E27FC236}">
              <a16:creationId xmlns:a16="http://schemas.microsoft.com/office/drawing/2014/main" id="{B351C88F-0743-7240-AECF-9D0AF055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0" name="Picture 1" descr="https://medya-cdn.tjk.org/imageftp/Img/e1.gif">
          <a:extLst>
            <a:ext uri="{FF2B5EF4-FFF2-40B4-BE49-F238E27FC236}">
              <a16:creationId xmlns:a16="http://schemas.microsoft.com/office/drawing/2014/main" id="{3E7EAD65-8C0E-BF47-B14C-CE0F57A4E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1" name="Picture 1" descr="https://medya-cdn.tjk.org/imageftp/Img/e1.gif">
          <a:extLst>
            <a:ext uri="{FF2B5EF4-FFF2-40B4-BE49-F238E27FC236}">
              <a16:creationId xmlns:a16="http://schemas.microsoft.com/office/drawing/2014/main" id="{1B5F08F5-9F63-1146-9A1A-CED95AD3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2" name="Picture 1" descr="https://medya-cdn.tjk.org/imageftp/Img/e1.gif">
          <a:extLst>
            <a:ext uri="{FF2B5EF4-FFF2-40B4-BE49-F238E27FC236}">
              <a16:creationId xmlns:a16="http://schemas.microsoft.com/office/drawing/2014/main" id="{9CE74C32-4284-CF4A-80A8-E4400352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3" name="Picture 1" descr="https://medya-cdn.tjk.org/imageftp/Img/e1.gif">
          <a:extLst>
            <a:ext uri="{FF2B5EF4-FFF2-40B4-BE49-F238E27FC236}">
              <a16:creationId xmlns:a16="http://schemas.microsoft.com/office/drawing/2014/main" id="{53C8609B-E694-3B47-9E5C-1B6CE1126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4" name="Picture 1" descr="https://medya-cdn.tjk.org/imageftp/Img/e1.gif">
          <a:extLst>
            <a:ext uri="{FF2B5EF4-FFF2-40B4-BE49-F238E27FC236}">
              <a16:creationId xmlns:a16="http://schemas.microsoft.com/office/drawing/2014/main" id="{2EF47287-9703-E342-BAA7-E6998AC3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5" name="Picture 1" descr="https://medya-cdn.tjk.org/imageftp/Img/e1.gif">
          <a:extLst>
            <a:ext uri="{FF2B5EF4-FFF2-40B4-BE49-F238E27FC236}">
              <a16:creationId xmlns:a16="http://schemas.microsoft.com/office/drawing/2014/main" id="{E3AD584E-DDCF-994C-AF73-3CF7348B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6" name="Picture 1" descr="https://medya-cdn.tjk.org/imageftp/Img/e1.gif">
          <a:extLst>
            <a:ext uri="{FF2B5EF4-FFF2-40B4-BE49-F238E27FC236}">
              <a16:creationId xmlns:a16="http://schemas.microsoft.com/office/drawing/2014/main" id="{D7FA103E-13D3-FB40-B6AC-4F4D3E1B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7" name="Picture 1" descr="https://medya-cdn.tjk.org/imageftp/Img/e1.gif">
          <a:extLst>
            <a:ext uri="{FF2B5EF4-FFF2-40B4-BE49-F238E27FC236}">
              <a16:creationId xmlns:a16="http://schemas.microsoft.com/office/drawing/2014/main" id="{07CD20C5-AC7B-4D47-9806-6AB8D9A92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8" name="Picture 1" descr="https://medya-cdn.tjk.org/imageftp/Img/e1.gif">
          <a:extLst>
            <a:ext uri="{FF2B5EF4-FFF2-40B4-BE49-F238E27FC236}">
              <a16:creationId xmlns:a16="http://schemas.microsoft.com/office/drawing/2014/main" id="{FAFE877D-09C7-C24C-B88B-1FD016D01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69" name="Picture 1" descr="https://medya-cdn.tjk.org/imageftp/Img/e1.gif">
          <a:extLst>
            <a:ext uri="{FF2B5EF4-FFF2-40B4-BE49-F238E27FC236}">
              <a16:creationId xmlns:a16="http://schemas.microsoft.com/office/drawing/2014/main" id="{84439481-184D-754F-934D-625C9545C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70" name="Picture 1" descr="https://medya-cdn.tjk.org/imageftp/Img/e1.gif">
          <a:extLst>
            <a:ext uri="{FF2B5EF4-FFF2-40B4-BE49-F238E27FC236}">
              <a16:creationId xmlns:a16="http://schemas.microsoft.com/office/drawing/2014/main" id="{5FC7C110-0BB2-E346-9C34-B4C9B856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71" name="Picture 1" descr="https://medya-cdn.tjk.org/imageftp/Img/e1.gif">
          <a:extLst>
            <a:ext uri="{FF2B5EF4-FFF2-40B4-BE49-F238E27FC236}">
              <a16:creationId xmlns:a16="http://schemas.microsoft.com/office/drawing/2014/main" id="{885971B5-AF91-F84F-BDE1-47416019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72" name="Picture 1" descr="https://medya-cdn.tjk.org/imageftp/Img/e1.gif">
          <a:extLst>
            <a:ext uri="{FF2B5EF4-FFF2-40B4-BE49-F238E27FC236}">
              <a16:creationId xmlns:a16="http://schemas.microsoft.com/office/drawing/2014/main" id="{02B7365E-B816-8543-B735-B96A0CDF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3" name="Picture 1" descr="https://medya-cdn.tjk.org/imageftp/Img/e1.gif">
          <a:extLst>
            <a:ext uri="{FF2B5EF4-FFF2-40B4-BE49-F238E27FC236}">
              <a16:creationId xmlns:a16="http://schemas.microsoft.com/office/drawing/2014/main" id="{073C88D4-49FC-EB4F-8137-6EDB4839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4" name="Picture 1" descr="https://medya-cdn.tjk.org/imageftp/Img/e1.gif">
          <a:extLst>
            <a:ext uri="{FF2B5EF4-FFF2-40B4-BE49-F238E27FC236}">
              <a16:creationId xmlns:a16="http://schemas.microsoft.com/office/drawing/2014/main" id="{F1D097AF-A87D-B846-946C-C5ED227B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5" name="Picture 1" descr="https://medya-cdn.tjk.org/imageftp/Img/e1.gif">
          <a:extLst>
            <a:ext uri="{FF2B5EF4-FFF2-40B4-BE49-F238E27FC236}">
              <a16:creationId xmlns:a16="http://schemas.microsoft.com/office/drawing/2014/main" id="{FC80465F-7683-0F4D-92FE-8937044A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6" name="Picture 1" descr="https://medya-cdn.tjk.org/imageftp/Img/e1.gif">
          <a:extLst>
            <a:ext uri="{FF2B5EF4-FFF2-40B4-BE49-F238E27FC236}">
              <a16:creationId xmlns:a16="http://schemas.microsoft.com/office/drawing/2014/main" id="{ED5E6E4D-4F2D-FE47-ABCB-51B7BB89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7" name="Picture 1" descr="https://medya-cdn.tjk.org/imageftp/Img/e1.gif">
          <a:extLst>
            <a:ext uri="{FF2B5EF4-FFF2-40B4-BE49-F238E27FC236}">
              <a16:creationId xmlns:a16="http://schemas.microsoft.com/office/drawing/2014/main" id="{B6C4EA22-3282-4343-AFB4-CEF631D5A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8" name="Picture 1" descr="https://medya-cdn.tjk.org/imageftp/Img/e1.gif">
          <a:extLst>
            <a:ext uri="{FF2B5EF4-FFF2-40B4-BE49-F238E27FC236}">
              <a16:creationId xmlns:a16="http://schemas.microsoft.com/office/drawing/2014/main" id="{4F33B8F4-A126-9747-BE05-5EAF5ED67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79" name="Picture 1" descr="https://medya-cdn.tjk.org/imageftp/Img/e1.gif">
          <a:extLst>
            <a:ext uri="{FF2B5EF4-FFF2-40B4-BE49-F238E27FC236}">
              <a16:creationId xmlns:a16="http://schemas.microsoft.com/office/drawing/2014/main" id="{A98743E6-4E76-9047-921B-C9EC1DD89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0" name="Picture 1" descr="https://medya-cdn.tjk.org/imageftp/Img/e1.gif">
          <a:extLst>
            <a:ext uri="{FF2B5EF4-FFF2-40B4-BE49-F238E27FC236}">
              <a16:creationId xmlns:a16="http://schemas.microsoft.com/office/drawing/2014/main" id="{740ECA8C-F5D2-ED4E-9B16-513B1F61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1" name="Picture 1" descr="https://medya-cdn.tjk.org/imageftp/Img/e1.gif">
          <a:extLst>
            <a:ext uri="{FF2B5EF4-FFF2-40B4-BE49-F238E27FC236}">
              <a16:creationId xmlns:a16="http://schemas.microsoft.com/office/drawing/2014/main" id="{FC491C00-3824-CA40-A2A9-D273F197D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2" name="Picture 1" descr="https://medya-cdn.tjk.org/imageftp/Img/e1.gif">
          <a:extLst>
            <a:ext uri="{FF2B5EF4-FFF2-40B4-BE49-F238E27FC236}">
              <a16:creationId xmlns:a16="http://schemas.microsoft.com/office/drawing/2014/main" id="{BF913959-7895-AD4E-A3B5-4902C135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3" name="Picture 1" descr="https://medya-cdn.tjk.org/imageftp/Img/e1.gif">
          <a:extLst>
            <a:ext uri="{FF2B5EF4-FFF2-40B4-BE49-F238E27FC236}">
              <a16:creationId xmlns:a16="http://schemas.microsoft.com/office/drawing/2014/main" id="{CF4C9935-2C03-B541-8AB0-F1E803AD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4" name="Picture 1" descr="https://medya-cdn.tjk.org/imageftp/Img/e1.gif">
          <a:extLst>
            <a:ext uri="{FF2B5EF4-FFF2-40B4-BE49-F238E27FC236}">
              <a16:creationId xmlns:a16="http://schemas.microsoft.com/office/drawing/2014/main" id="{07886451-3746-8349-B402-7B6953D9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5" name="Picture 1" descr="https://medya-cdn.tjk.org/imageftp/Img/e1.gif">
          <a:extLst>
            <a:ext uri="{FF2B5EF4-FFF2-40B4-BE49-F238E27FC236}">
              <a16:creationId xmlns:a16="http://schemas.microsoft.com/office/drawing/2014/main" id="{5788BD4C-B633-0B41-935F-12232593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6" name="Picture 1" descr="https://medya-cdn.tjk.org/imageftp/Img/e1.gif">
          <a:extLst>
            <a:ext uri="{FF2B5EF4-FFF2-40B4-BE49-F238E27FC236}">
              <a16:creationId xmlns:a16="http://schemas.microsoft.com/office/drawing/2014/main" id="{00C480E6-EAB2-3248-A0F5-ADA96FC3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7" name="Picture 1" descr="https://medya-cdn.tjk.org/imageftp/Img/e1.gif">
          <a:extLst>
            <a:ext uri="{FF2B5EF4-FFF2-40B4-BE49-F238E27FC236}">
              <a16:creationId xmlns:a16="http://schemas.microsoft.com/office/drawing/2014/main" id="{A461D5F4-4F9D-B445-A09B-8B1BEEFEE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8" name="Picture 1" descr="https://medya-cdn.tjk.org/imageftp/Img/e1.gif">
          <a:extLst>
            <a:ext uri="{FF2B5EF4-FFF2-40B4-BE49-F238E27FC236}">
              <a16:creationId xmlns:a16="http://schemas.microsoft.com/office/drawing/2014/main" id="{CB14221F-F97B-1443-9DF0-C39909780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89" name="Picture 1" descr="https://medya-cdn.tjk.org/imageftp/Img/e1.gif">
          <a:extLst>
            <a:ext uri="{FF2B5EF4-FFF2-40B4-BE49-F238E27FC236}">
              <a16:creationId xmlns:a16="http://schemas.microsoft.com/office/drawing/2014/main" id="{FF1DE8E8-E2AB-FA45-8319-53F81F32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90" name="Picture 1" descr="https://medya-cdn.tjk.org/imageftp/Img/e1.gif">
          <a:extLst>
            <a:ext uri="{FF2B5EF4-FFF2-40B4-BE49-F238E27FC236}">
              <a16:creationId xmlns:a16="http://schemas.microsoft.com/office/drawing/2014/main" id="{030FA2F3-C9D3-1045-B394-84667E55F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91" name="Picture 1" descr="https://medya-cdn.tjk.org/imageftp/Img/e1.gif">
          <a:extLst>
            <a:ext uri="{FF2B5EF4-FFF2-40B4-BE49-F238E27FC236}">
              <a16:creationId xmlns:a16="http://schemas.microsoft.com/office/drawing/2014/main" id="{37CB11D9-7F5F-4E45-9567-C878E84F6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121476</xdr:rowOff>
    </xdr:to>
    <xdr:pic>
      <xdr:nvPicPr>
        <xdr:cNvPr id="92" name="Picture 1" descr="https://medya-cdn.tjk.org/imageftp/Img/e1.gif">
          <a:extLst>
            <a:ext uri="{FF2B5EF4-FFF2-40B4-BE49-F238E27FC236}">
              <a16:creationId xmlns:a16="http://schemas.microsoft.com/office/drawing/2014/main" id="{2DCD616D-28FF-9D48-B87A-803C11A2A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5278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93" name="Picture 12" descr="https://medya-cdn.tjk.org/imageftp/Img/e1.gif">
          <a:extLst>
            <a:ext uri="{FF2B5EF4-FFF2-40B4-BE49-F238E27FC236}">
              <a16:creationId xmlns:a16="http://schemas.microsoft.com/office/drawing/2014/main" id="{6FF5CEBB-151A-C349-8413-8902D5B0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94" name="Picture 12" descr="https://medya-cdn.tjk.org/imageftp/Img/e1.gif">
          <a:extLst>
            <a:ext uri="{FF2B5EF4-FFF2-40B4-BE49-F238E27FC236}">
              <a16:creationId xmlns:a16="http://schemas.microsoft.com/office/drawing/2014/main" id="{05233B82-C2D9-F84F-B476-3E0A56A8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95" name="Picture 12" descr="https://medya-cdn.tjk.org/imageftp/Img/e1.gif">
          <a:extLst>
            <a:ext uri="{FF2B5EF4-FFF2-40B4-BE49-F238E27FC236}">
              <a16:creationId xmlns:a16="http://schemas.microsoft.com/office/drawing/2014/main" id="{A601F06E-D0B2-A744-882B-424C08A1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96" name="Picture 12" descr="https://medya-cdn.tjk.org/imageftp/Img/e1.gif">
          <a:extLst>
            <a:ext uri="{FF2B5EF4-FFF2-40B4-BE49-F238E27FC236}">
              <a16:creationId xmlns:a16="http://schemas.microsoft.com/office/drawing/2014/main" id="{605CC44C-700B-8C4D-85EB-8638493B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51224</xdr:rowOff>
    </xdr:to>
    <xdr:sp macro="" textlink="">
      <xdr:nvSpPr>
        <xdr:cNvPr id="97" name="AutoShape 3" descr="https://medya-cdn.tjk.org/imageftp/Img/e1.gif">
          <a:extLst>
            <a:ext uri="{FF2B5EF4-FFF2-40B4-BE49-F238E27FC236}">
              <a16:creationId xmlns:a16="http://schemas.microsoft.com/office/drawing/2014/main" id="{E3F37F08-EA5A-214F-A94C-DB61CC8E4D1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66471600"/>
          <a:ext cx="304800" cy="66082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93</xdr:row>
      <xdr:rowOff>100752</xdr:rowOff>
    </xdr:to>
    <xdr:sp macro="" textlink="">
      <xdr:nvSpPr>
        <xdr:cNvPr id="98" name="AutoShape 3" descr="https://medya-cdn.tjk.org/imageftp/Img/e1.gif">
          <a:extLst>
            <a:ext uri="{FF2B5EF4-FFF2-40B4-BE49-F238E27FC236}">
              <a16:creationId xmlns:a16="http://schemas.microsoft.com/office/drawing/2014/main" id="{7CBB3388-7BBC-784B-A8F3-1D2EBA6AD25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68414700"/>
          <a:ext cx="304800" cy="33350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101</xdr:row>
      <xdr:rowOff>142257</xdr:rowOff>
    </xdr:to>
    <xdr:sp macro="" textlink="">
      <xdr:nvSpPr>
        <xdr:cNvPr id="99" name="AutoShape 3" descr="https://medya-cdn.tjk.org/imageftp/Img/e1.gif">
          <a:extLst>
            <a:ext uri="{FF2B5EF4-FFF2-40B4-BE49-F238E27FC236}">
              <a16:creationId xmlns:a16="http://schemas.microsoft.com/office/drawing/2014/main" id="{FA8B825E-2CE9-9747-8925-BA96D1820C6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2046900"/>
          <a:ext cx="304800" cy="447719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85</xdr:row>
      <xdr:rowOff>176955</xdr:rowOff>
    </xdr:to>
    <xdr:sp macro="" textlink="">
      <xdr:nvSpPr>
        <xdr:cNvPr id="100" name="AutoShape 3" descr="https://medya-cdn.tjk.org/imageftp/Img/e1.gif">
          <a:extLst>
            <a:ext uri="{FF2B5EF4-FFF2-40B4-BE49-F238E27FC236}">
              <a16:creationId xmlns:a16="http://schemas.microsoft.com/office/drawing/2014/main" id="{2C861B37-5243-0A45-929B-956929632EF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1531621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87</xdr:row>
      <xdr:rowOff>68988</xdr:rowOff>
    </xdr:to>
    <xdr:sp macro="" textlink="">
      <xdr:nvSpPr>
        <xdr:cNvPr id="101" name="AutoShape 3" descr="https://medya-cdn.tjk.org/imageftp/Img/e1.gif">
          <a:extLst>
            <a:ext uri="{FF2B5EF4-FFF2-40B4-BE49-F238E27FC236}">
              <a16:creationId xmlns:a16="http://schemas.microsoft.com/office/drawing/2014/main" id="{5ABE043D-05D8-AD4D-958E-73340E866B2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18300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86</xdr:row>
      <xdr:rowOff>135028</xdr:rowOff>
    </xdr:to>
    <xdr:sp macro="" textlink="">
      <xdr:nvSpPr>
        <xdr:cNvPr id="102" name="AutoShape 3" descr="https://medya-cdn.tjk.org/imageftp/Img/e1.gif">
          <a:extLst>
            <a:ext uri="{FF2B5EF4-FFF2-40B4-BE49-F238E27FC236}">
              <a16:creationId xmlns:a16="http://schemas.microsoft.com/office/drawing/2014/main" id="{D76B38D4-C39F-1145-B756-B6B338A5A12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169289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87</xdr:row>
      <xdr:rowOff>68988</xdr:rowOff>
    </xdr:to>
    <xdr:sp macro="" textlink="">
      <xdr:nvSpPr>
        <xdr:cNvPr id="103" name="AutoShape 3" descr="https://medya-cdn.tjk.org/imageftp/Img/e1.gif">
          <a:extLst>
            <a:ext uri="{FF2B5EF4-FFF2-40B4-BE49-F238E27FC236}">
              <a16:creationId xmlns:a16="http://schemas.microsoft.com/office/drawing/2014/main" id="{AE3EBE5E-2E44-2B45-9DEA-F8F53C24E9D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18300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86</xdr:row>
      <xdr:rowOff>135028</xdr:rowOff>
    </xdr:to>
    <xdr:sp macro="" textlink="">
      <xdr:nvSpPr>
        <xdr:cNvPr id="104" name="AutoShape 3" descr="https://medya-cdn.tjk.org/imageftp/Img/e1.gif">
          <a:extLst>
            <a:ext uri="{FF2B5EF4-FFF2-40B4-BE49-F238E27FC236}">
              <a16:creationId xmlns:a16="http://schemas.microsoft.com/office/drawing/2014/main" id="{34AD65A8-DC44-8743-BFCA-CA03F219E16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1692894"/>
        </a:xfrm>
        <a:prstGeom prst="rect">
          <a:avLst/>
        </a:prstGeom>
        <a:noFill/>
      </xdr:spPr>
    </xdr:sp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05" name="Picture 1" descr="https://medya-cdn.tjk.org/imageftp/Img/e1.gif">
          <a:extLst>
            <a:ext uri="{FF2B5EF4-FFF2-40B4-BE49-F238E27FC236}">
              <a16:creationId xmlns:a16="http://schemas.microsoft.com/office/drawing/2014/main" id="{F29A7536-3548-F54A-8B06-91F29C68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06" name="Picture 1" descr="https://medya-cdn.tjk.org/imageftp/Img/e1.gif">
          <a:extLst>
            <a:ext uri="{FF2B5EF4-FFF2-40B4-BE49-F238E27FC236}">
              <a16:creationId xmlns:a16="http://schemas.microsoft.com/office/drawing/2014/main" id="{860700FE-5113-8649-A0E7-05C5A4BF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07" name="Picture 1" descr="https://medya-cdn.tjk.org/imageftp/Img/e1.gif">
          <a:extLst>
            <a:ext uri="{FF2B5EF4-FFF2-40B4-BE49-F238E27FC236}">
              <a16:creationId xmlns:a16="http://schemas.microsoft.com/office/drawing/2014/main" id="{C00A91A7-FE45-8D44-AA11-6EA84A25A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08" name="Picture 1" descr="https://medya-cdn.tjk.org/imageftp/Img/e1.gif">
          <a:extLst>
            <a:ext uri="{FF2B5EF4-FFF2-40B4-BE49-F238E27FC236}">
              <a16:creationId xmlns:a16="http://schemas.microsoft.com/office/drawing/2014/main" id="{9EB0B5BA-082F-914B-8D8E-8F009867F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09" name="Picture 1" descr="https://medya-cdn.tjk.org/imageftp/Img/e1.gif">
          <a:extLst>
            <a:ext uri="{FF2B5EF4-FFF2-40B4-BE49-F238E27FC236}">
              <a16:creationId xmlns:a16="http://schemas.microsoft.com/office/drawing/2014/main" id="{B208A7B3-1989-0145-9247-85C422D4F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0" name="Picture 1" descr="https://medya-cdn.tjk.org/imageftp/Img/e1.gif">
          <a:extLst>
            <a:ext uri="{FF2B5EF4-FFF2-40B4-BE49-F238E27FC236}">
              <a16:creationId xmlns:a16="http://schemas.microsoft.com/office/drawing/2014/main" id="{6076F7C9-EAFC-EA44-81A0-995EAE15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1" name="Picture 1" descr="https://medya-cdn.tjk.org/imageftp/Img/e1.gif">
          <a:extLst>
            <a:ext uri="{FF2B5EF4-FFF2-40B4-BE49-F238E27FC236}">
              <a16:creationId xmlns:a16="http://schemas.microsoft.com/office/drawing/2014/main" id="{1349D48E-2DD4-8548-A0AA-8EE5632E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2" name="Picture 1" descr="https://medya-cdn.tjk.org/imageftp/Img/e1.gif">
          <a:extLst>
            <a:ext uri="{FF2B5EF4-FFF2-40B4-BE49-F238E27FC236}">
              <a16:creationId xmlns:a16="http://schemas.microsoft.com/office/drawing/2014/main" id="{CE87AE81-B580-A44F-B8B1-847EBA5BE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3" name="Picture 1" descr="https://medya-cdn.tjk.org/imageftp/Img/e1.gif">
          <a:extLst>
            <a:ext uri="{FF2B5EF4-FFF2-40B4-BE49-F238E27FC236}">
              <a16:creationId xmlns:a16="http://schemas.microsoft.com/office/drawing/2014/main" id="{3C9F4D71-6F6A-D246-9CF8-996C6BE4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4" name="Picture 1" descr="https://medya-cdn.tjk.org/imageftp/Img/e1.gif">
          <a:extLst>
            <a:ext uri="{FF2B5EF4-FFF2-40B4-BE49-F238E27FC236}">
              <a16:creationId xmlns:a16="http://schemas.microsoft.com/office/drawing/2014/main" id="{606736DC-BC3E-0A44-98EB-7E77CD6A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5" name="Picture 1" descr="https://medya-cdn.tjk.org/imageftp/Img/e1.gif">
          <a:extLst>
            <a:ext uri="{FF2B5EF4-FFF2-40B4-BE49-F238E27FC236}">
              <a16:creationId xmlns:a16="http://schemas.microsoft.com/office/drawing/2014/main" id="{A87F8EF4-EADB-384F-91D2-2DF8DF14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6" name="Picture 1" descr="https://medya-cdn.tjk.org/imageftp/Img/e1.gif">
          <a:extLst>
            <a:ext uri="{FF2B5EF4-FFF2-40B4-BE49-F238E27FC236}">
              <a16:creationId xmlns:a16="http://schemas.microsoft.com/office/drawing/2014/main" id="{5429213C-5BB5-924D-A794-5F922DB2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7" name="Picture 1" descr="https://medya-cdn.tjk.org/imageftp/Img/e1.gif">
          <a:extLst>
            <a:ext uri="{FF2B5EF4-FFF2-40B4-BE49-F238E27FC236}">
              <a16:creationId xmlns:a16="http://schemas.microsoft.com/office/drawing/2014/main" id="{4C5DC76F-A221-FC42-AD51-D49BF362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8" name="Picture 1" descr="https://medya-cdn.tjk.org/imageftp/Img/e1.gif">
          <a:extLst>
            <a:ext uri="{FF2B5EF4-FFF2-40B4-BE49-F238E27FC236}">
              <a16:creationId xmlns:a16="http://schemas.microsoft.com/office/drawing/2014/main" id="{DCFCA370-D646-DF4E-A229-01A79D42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19" name="Picture 1" descr="https://medya-cdn.tjk.org/imageftp/Img/e1.gif">
          <a:extLst>
            <a:ext uri="{FF2B5EF4-FFF2-40B4-BE49-F238E27FC236}">
              <a16:creationId xmlns:a16="http://schemas.microsoft.com/office/drawing/2014/main" id="{BC613835-45C8-AE4D-B12C-833351101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162772</xdr:rowOff>
    </xdr:to>
    <xdr:pic>
      <xdr:nvPicPr>
        <xdr:cNvPr id="120" name="Picture 1" descr="https://medya-cdn.tjk.org/imageftp/Img/e1.gif">
          <a:extLst>
            <a:ext uri="{FF2B5EF4-FFF2-40B4-BE49-F238E27FC236}">
              <a16:creationId xmlns:a16="http://schemas.microsoft.com/office/drawing/2014/main" id="{1B50F75D-D0AE-A343-946D-BF5347297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9755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1" name="Picture 1" descr="https://medya-cdn.tjk.org/imageftp/Img/e1.gif">
          <a:extLst>
            <a:ext uri="{FF2B5EF4-FFF2-40B4-BE49-F238E27FC236}">
              <a16:creationId xmlns:a16="http://schemas.microsoft.com/office/drawing/2014/main" id="{ADD13D98-927C-2746-9C5E-C5E1D5C21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2" name="Picture 1" descr="https://medya-cdn.tjk.org/imageftp/Img/e1.gif">
          <a:extLst>
            <a:ext uri="{FF2B5EF4-FFF2-40B4-BE49-F238E27FC236}">
              <a16:creationId xmlns:a16="http://schemas.microsoft.com/office/drawing/2014/main" id="{51AEBD3F-607F-2C46-B319-BBCC4692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3" name="Picture 1" descr="https://medya-cdn.tjk.org/imageftp/Img/e1.gif">
          <a:extLst>
            <a:ext uri="{FF2B5EF4-FFF2-40B4-BE49-F238E27FC236}">
              <a16:creationId xmlns:a16="http://schemas.microsoft.com/office/drawing/2014/main" id="{325F2E19-B7E5-4947-AE83-13DE591B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4" name="Picture 1" descr="https://medya-cdn.tjk.org/imageftp/Img/e1.gif">
          <a:extLst>
            <a:ext uri="{FF2B5EF4-FFF2-40B4-BE49-F238E27FC236}">
              <a16:creationId xmlns:a16="http://schemas.microsoft.com/office/drawing/2014/main" id="{AEBF55BA-3BD7-3242-BBB5-86A5E4F8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5" name="Picture 1" descr="https://medya-cdn.tjk.org/imageftp/Img/e1.gif">
          <a:extLst>
            <a:ext uri="{FF2B5EF4-FFF2-40B4-BE49-F238E27FC236}">
              <a16:creationId xmlns:a16="http://schemas.microsoft.com/office/drawing/2014/main" id="{DA84BB77-ADF6-714C-A156-FF4F06D2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6" name="Picture 1" descr="https://medya-cdn.tjk.org/imageftp/Img/e1.gif">
          <a:extLst>
            <a:ext uri="{FF2B5EF4-FFF2-40B4-BE49-F238E27FC236}">
              <a16:creationId xmlns:a16="http://schemas.microsoft.com/office/drawing/2014/main" id="{F0E4B4E1-B90A-0646-B898-DDC3F55C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7" name="Picture 1" descr="https://medya-cdn.tjk.org/imageftp/Img/e1.gif">
          <a:extLst>
            <a:ext uri="{FF2B5EF4-FFF2-40B4-BE49-F238E27FC236}">
              <a16:creationId xmlns:a16="http://schemas.microsoft.com/office/drawing/2014/main" id="{D1CE467A-E46D-F84D-B91E-DD51193BC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28" name="Picture 1" descr="https://medya-cdn.tjk.org/imageftp/Img/e1.gif">
          <a:extLst>
            <a:ext uri="{FF2B5EF4-FFF2-40B4-BE49-F238E27FC236}">
              <a16:creationId xmlns:a16="http://schemas.microsoft.com/office/drawing/2014/main" id="{306CFF0C-3478-C14A-A11A-D416D1CE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29" name="Picture 1" descr="https://medya-cdn.tjk.org/imageftp/Img/e1.gif">
          <a:extLst>
            <a:ext uri="{FF2B5EF4-FFF2-40B4-BE49-F238E27FC236}">
              <a16:creationId xmlns:a16="http://schemas.microsoft.com/office/drawing/2014/main" id="{1829BA79-7439-F749-B57F-D63F9871B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0" name="Picture 1" descr="https://medya-cdn.tjk.org/imageftp/Img/e1.gif">
          <a:extLst>
            <a:ext uri="{FF2B5EF4-FFF2-40B4-BE49-F238E27FC236}">
              <a16:creationId xmlns:a16="http://schemas.microsoft.com/office/drawing/2014/main" id="{5DC4A21A-25B3-794C-90C3-891F6C6AE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1" name="Picture 1" descr="https://medya-cdn.tjk.org/imageftp/Img/e1.gif">
          <a:extLst>
            <a:ext uri="{FF2B5EF4-FFF2-40B4-BE49-F238E27FC236}">
              <a16:creationId xmlns:a16="http://schemas.microsoft.com/office/drawing/2014/main" id="{B0C28D33-11F6-8B48-8F22-DC5D47F6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2" name="Picture 1" descr="https://medya-cdn.tjk.org/imageftp/Img/e1.gif">
          <a:extLst>
            <a:ext uri="{FF2B5EF4-FFF2-40B4-BE49-F238E27FC236}">
              <a16:creationId xmlns:a16="http://schemas.microsoft.com/office/drawing/2014/main" id="{B91675D8-80BE-6B4A-9869-B3EC265E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3" name="Picture 1" descr="https://medya-cdn.tjk.org/imageftp/Img/e1.gif">
          <a:extLst>
            <a:ext uri="{FF2B5EF4-FFF2-40B4-BE49-F238E27FC236}">
              <a16:creationId xmlns:a16="http://schemas.microsoft.com/office/drawing/2014/main" id="{8DC40F50-E36D-8A47-8CAF-7EBA1DA9E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4" name="Picture 1" descr="https://medya-cdn.tjk.org/imageftp/Img/e1.gif">
          <a:extLst>
            <a:ext uri="{FF2B5EF4-FFF2-40B4-BE49-F238E27FC236}">
              <a16:creationId xmlns:a16="http://schemas.microsoft.com/office/drawing/2014/main" id="{F6B9390F-3903-3D47-8466-A979C682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5" name="Picture 1" descr="https://medya-cdn.tjk.org/imageftp/Img/e1.gif">
          <a:extLst>
            <a:ext uri="{FF2B5EF4-FFF2-40B4-BE49-F238E27FC236}">
              <a16:creationId xmlns:a16="http://schemas.microsoft.com/office/drawing/2014/main" id="{E9578EB8-5CE2-A146-B591-7BD886F2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6" name="Picture 1" descr="https://medya-cdn.tjk.org/imageftp/Img/e1.gif">
          <a:extLst>
            <a:ext uri="{FF2B5EF4-FFF2-40B4-BE49-F238E27FC236}">
              <a16:creationId xmlns:a16="http://schemas.microsoft.com/office/drawing/2014/main" id="{9816B578-C0DC-4D40-A125-3539639D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7" name="Picture 1" descr="https://medya-cdn.tjk.org/imageftp/Img/e1.gif">
          <a:extLst>
            <a:ext uri="{FF2B5EF4-FFF2-40B4-BE49-F238E27FC236}">
              <a16:creationId xmlns:a16="http://schemas.microsoft.com/office/drawing/2014/main" id="{E72D8588-B261-0246-AA61-F8E17BA9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8" name="Picture 1" descr="https://medya-cdn.tjk.org/imageftp/Img/e1.gif">
          <a:extLst>
            <a:ext uri="{FF2B5EF4-FFF2-40B4-BE49-F238E27FC236}">
              <a16:creationId xmlns:a16="http://schemas.microsoft.com/office/drawing/2014/main" id="{94558804-B6B5-8D44-8F73-B36B840C5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39" name="Picture 1" descr="https://medya-cdn.tjk.org/imageftp/Img/e1.gif">
          <a:extLst>
            <a:ext uri="{FF2B5EF4-FFF2-40B4-BE49-F238E27FC236}">
              <a16:creationId xmlns:a16="http://schemas.microsoft.com/office/drawing/2014/main" id="{3C471FFB-7D0A-FE4D-BBCE-3DF9773B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0" name="Picture 1" descr="https://medya-cdn.tjk.org/imageftp/Img/e1.gif">
          <a:extLst>
            <a:ext uri="{FF2B5EF4-FFF2-40B4-BE49-F238E27FC236}">
              <a16:creationId xmlns:a16="http://schemas.microsoft.com/office/drawing/2014/main" id="{D107554D-45A7-D046-83F3-159B94A8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1" name="Picture 1" descr="https://medya-cdn.tjk.org/imageftp/Img/e1.gif">
          <a:extLst>
            <a:ext uri="{FF2B5EF4-FFF2-40B4-BE49-F238E27FC236}">
              <a16:creationId xmlns:a16="http://schemas.microsoft.com/office/drawing/2014/main" id="{FBDF3BCC-F2E5-B540-8F55-897DF75D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2" name="Picture 1" descr="https://medya-cdn.tjk.org/imageftp/Img/e1.gif">
          <a:extLst>
            <a:ext uri="{FF2B5EF4-FFF2-40B4-BE49-F238E27FC236}">
              <a16:creationId xmlns:a16="http://schemas.microsoft.com/office/drawing/2014/main" id="{43A05637-3D53-8545-9D07-D5FEEB31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3" name="Picture 1" descr="https://medya-cdn.tjk.org/imageftp/Img/e1.gif">
          <a:extLst>
            <a:ext uri="{FF2B5EF4-FFF2-40B4-BE49-F238E27FC236}">
              <a16:creationId xmlns:a16="http://schemas.microsoft.com/office/drawing/2014/main" id="{9A4DBF3F-4B36-B843-832C-B019D75B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4" name="Picture 1" descr="https://medya-cdn.tjk.org/imageftp/Img/e1.gif">
          <a:extLst>
            <a:ext uri="{FF2B5EF4-FFF2-40B4-BE49-F238E27FC236}">
              <a16:creationId xmlns:a16="http://schemas.microsoft.com/office/drawing/2014/main" id="{ADB67D57-91DB-6049-98AA-959B9FE0F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5" name="Picture 1" descr="https://medya-cdn.tjk.org/imageftp/Img/e1.gif">
          <a:extLst>
            <a:ext uri="{FF2B5EF4-FFF2-40B4-BE49-F238E27FC236}">
              <a16:creationId xmlns:a16="http://schemas.microsoft.com/office/drawing/2014/main" id="{714D1F9B-3352-B848-9E87-45C34602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6" name="Picture 1" descr="https://medya-cdn.tjk.org/imageftp/Img/e1.gif">
          <a:extLst>
            <a:ext uri="{FF2B5EF4-FFF2-40B4-BE49-F238E27FC236}">
              <a16:creationId xmlns:a16="http://schemas.microsoft.com/office/drawing/2014/main" id="{68D3ADB9-502F-864F-BCF3-6CB025AD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7" name="Picture 1" descr="https://medya-cdn.tjk.org/imageftp/Img/e1.gif">
          <a:extLst>
            <a:ext uri="{FF2B5EF4-FFF2-40B4-BE49-F238E27FC236}">
              <a16:creationId xmlns:a16="http://schemas.microsoft.com/office/drawing/2014/main" id="{57A95FCC-333E-EA4B-89A0-ABAC4C62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48" name="Picture 1" descr="https://medya-cdn.tjk.org/imageftp/Img/e1.gif">
          <a:extLst>
            <a:ext uri="{FF2B5EF4-FFF2-40B4-BE49-F238E27FC236}">
              <a16:creationId xmlns:a16="http://schemas.microsoft.com/office/drawing/2014/main" id="{B73F8C61-B080-A84D-95FD-1A973755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49" name="Picture 1" descr="https://medya-cdn.tjk.org/imageftp/Img/e1.gif">
          <a:extLst>
            <a:ext uri="{FF2B5EF4-FFF2-40B4-BE49-F238E27FC236}">
              <a16:creationId xmlns:a16="http://schemas.microsoft.com/office/drawing/2014/main" id="{F5842371-EDF6-5B40-81B8-4B2896D50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0" name="Picture 1" descr="https://medya-cdn.tjk.org/imageftp/Img/e1.gif">
          <a:extLst>
            <a:ext uri="{FF2B5EF4-FFF2-40B4-BE49-F238E27FC236}">
              <a16:creationId xmlns:a16="http://schemas.microsoft.com/office/drawing/2014/main" id="{0BF677E1-7546-2E4C-B595-5B3222206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1" name="Picture 1" descr="https://medya-cdn.tjk.org/imageftp/Img/e1.gif">
          <a:extLst>
            <a:ext uri="{FF2B5EF4-FFF2-40B4-BE49-F238E27FC236}">
              <a16:creationId xmlns:a16="http://schemas.microsoft.com/office/drawing/2014/main" id="{B9EF4ABC-8E66-3840-91BE-BA864984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2" name="Picture 1" descr="https://medya-cdn.tjk.org/imageftp/Img/e1.gif">
          <a:extLst>
            <a:ext uri="{FF2B5EF4-FFF2-40B4-BE49-F238E27FC236}">
              <a16:creationId xmlns:a16="http://schemas.microsoft.com/office/drawing/2014/main" id="{E529BE99-DCFB-D041-8D5C-569D21A56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3" name="Picture 1" descr="https://medya-cdn.tjk.org/imageftp/Img/e1.gif">
          <a:extLst>
            <a:ext uri="{FF2B5EF4-FFF2-40B4-BE49-F238E27FC236}">
              <a16:creationId xmlns:a16="http://schemas.microsoft.com/office/drawing/2014/main" id="{649D56E4-3D03-914C-AAD5-08588EFCD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4" name="Picture 1" descr="https://medya-cdn.tjk.org/imageftp/Img/e1.gif">
          <a:extLst>
            <a:ext uri="{FF2B5EF4-FFF2-40B4-BE49-F238E27FC236}">
              <a16:creationId xmlns:a16="http://schemas.microsoft.com/office/drawing/2014/main" id="{7F565328-BC26-BB41-84E3-68322169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5" name="Picture 1" descr="https://medya-cdn.tjk.org/imageftp/Img/e1.gif">
          <a:extLst>
            <a:ext uri="{FF2B5EF4-FFF2-40B4-BE49-F238E27FC236}">
              <a16:creationId xmlns:a16="http://schemas.microsoft.com/office/drawing/2014/main" id="{AB1C6EC3-D302-B14B-B7CA-721820452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56" name="Picture 1" descr="https://medya-cdn.tjk.org/imageftp/Img/e1.gif">
          <a:extLst>
            <a:ext uri="{FF2B5EF4-FFF2-40B4-BE49-F238E27FC236}">
              <a16:creationId xmlns:a16="http://schemas.microsoft.com/office/drawing/2014/main" id="{00DE22E2-281C-D444-A817-A987418A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57" name="Picture 1" descr="https://medya-cdn.tjk.org/imageftp/Img/e1.gif">
          <a:extLst>
            <a:ext uri="{FF2B5EF4-FFF2-40B4-BE49-F238E27FC236}">
              <a16:creationId xmlns:a16="http://schemas.microsoft.com/office/drawing/2014/main" id="{4B5CAE49-F881-0744-AE1C-8C5572431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58" name="Picture 1" descr="https://medya-cdn.tjk.org/imageftp/Img/e1.gif">
          <a:extLst>
            <a:ext uri="{FF2B5EF4-FFF2-40B4-BE49-F238E27FC236}">
              <a16:creationId xmlns:a16="http://schemas.microsoft.com/office/drawing/2014/main" id="{E698D00B-D4F3-FF46-BB9E-8C203E5FF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59" name="Picture 1" descr="https://medya-cdn.tjk.org/imageftp/Img/e1.gif">
          <a:extLst>
            <a:ext uri="{FF2B5EF4-FFF2-40B4-BE49-F238E27FC236}">
              <a16:creationId xmlns:a16="http://schemas.microsoft.com/office/drawing/2014/main" id="{4E04FCC4-F4F6-D64A-B761-E73590D23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0" name="Picture 1" descr="https://medya-cdn.tjk.org/imageftp/Img/e1.gif">
          <a:extLst>
            <a:ext uri="{FF2B5EF4-FFF2-40B4-BE49-F238E27FC236}">
              <a16:creationId xmlns:a16="http://schemas.microsoft.com/office/drawing/2014/main" id="{1F3ECDD3-D30D-C744-94DC-7A47007D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1" name="Picture 1" descr="https://medya-cdn.tjk.org/imageftp/Img/e1.gif">
          <a:extLst>
            <a:ext uri="{FF2B5EF4-FFF2-40B4-BE49-F238E27FC236}">
              <a16:creationId xmlns:a16="http://schemas.microsoft.com/office/drawing/2014/main" id="{722192AF-0490-3F4A-8865-CEEB4A740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2" name="Picture 1" descr="https://medya-cdn.tjk.org/imageftp/Img/e1.gif">
          <a:extLst>
            <a:ext uri="{FF2B5EF4-FFF2-40B4-BE49-F238E27FC236}">
              <a16:creationId xmlns:a16="http://schemas.microsoft.com/office/drawing/2014/main" id="{76ECAC8A-756F-E046-AA01-8082CB812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3" name="Picture 1" descr="https://medya-cdn.tjk.org/imageftp/Img/e1.gif">
          <a:extLst>
            <a:ext uri="{FF2B5EF4-FFF2-40B4-BE49-F238E27FC236}">
              <a16:creationId xmlns:a16="http://schemas.microsoft.com/office/drawing/2014/main" id="{D5984C4D-9B8C-8A4C-B575-861D1BFFC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4" name="Picture 1" descr="https://medya-cdn.tjk.org/imageftp/Img/e1.gif">
          <a:extLst>
            <a:ext uri="{FF2B5EF4-FFF2-40B4-BE49-F238E27FC236}">
              <a16:creationId xmlns:a16="http://schemas.microsoft.com/office/drawing/2014/main" id="{C4CA518C-9D43-1440-A9EE-1D0BAB81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5" name="Picture 1" descr="https://medya-cdn.tjk.org/imageftp/Img/e1.gif">
          <a:extLst>
            <a:ext uri="{FF2B5EF4-FFF2-40B4-BE49-F238E27FC236}">
              <a16:creationId xmlns:a16="http://schemas.microsoft.com/office/drawing/2014/main" id="{C0D84757-8570-E24C-9375-5243E1E9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6" name="Picture 1" descr="https://medya-cdn.tjk.org/imageftp/Img/e1.gif">
          <a:extLst>
            <a:ext uri="{FF2B5EF4-FFF2-40B4-BE49-F238E27FC236}">
              <a16:creationId xmlns:a16="http://schemas.microsoft.com/office/drawing/2014/main" id="{55986876-5E84-5A4F-881D-ACCC3D9D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7" name="Picture 1" descr="https://medya-cdn.tjk.org/imageftp/Img/e1.gif">
          <a:extLst>
            <a:ext uri="{FF2B5EF4-FFF2-40B4-BE49-F238E27FC236}">
              <a16:creationId xmlns:a16="http://schemas.microsoft.com/office/drawing/2014/main" id="{BF8205F4-1544-A54E-B55C-30E4A662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8" name="Picture 1" descr="https://medya-cdn.tjk.org/imageftp/Img/e1.gif">
          <a:extLst>
            <a:ext uri="{FF2B5EF4-FFF2-40B4-BE49-F238E27FC236}">
              <a16:creationId xmlns:a16="http://schemas.microsoft.com/office/drawing/2014/main" id="{5F0C6233-A68D-BE4C-BFEE-9FD92F689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69" name="Picture 1" descr="https://medya-cdn.tjk.org/imageftp/Img/e1.gif">
          <a:extLst>
            <a:ext uri="{FF2B5EF4-FFF2-40B4-BE49-F238E27FC236}">
              <a16:creationId xmlns:a16="http://schemas.microsoft.com/office/drawing/2014/main" id="{ADBE5AB2-3035-D440-8F02-792B0C7E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0" name="Picture 1" descr="https://medya-cdn.tjk.org/imageftp/Img/e1.gif">
          <a:extLst>
            <a:ext uri="{FF2B5EF4-FFF2-40B4-BE49-F238E27FC236}">
              <a16:creationId xmlns:a16="http://schemas.microsoft.com/office/drawing/2014/main" id="{CF707525-6902-F344-B18A-1E4678AE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1" name="Picture 1" descr="https://medya-cdn.tjk.org/imageftp/Img/e1.gif">
          <a:extLst>
            <a:ext uri="{FF2B5EF4-FFF2-40B4-BE49-F238E27FC236}">
              <a16:creationId xmlns:a16="http://schemas.microsoft.com/office/drawing/2014/main" id="{22702791-F336-614E-A319-7820D200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2" name="Picture 1" descr="https://medya-cdn.tjk.org/imageftp/Img/e1.gif">
          <a:extLst>
            <a:ext uri="{FF2B5EF4-FFF2-40B4-BE49-F238E27FC236}">
              <a16:creationId xmlns:a16="http://schemas.microsoft.com/office/drawing/2014/main" id="{636B58CA-437F-B24C-B7E6-54CA4267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3" name="Picture 1" descr="https://medya-cdn.tjk.org/imageftp/Img/e1.gif">
          <a:extLst>
            <a:ext uri="{FF2B5EF4-FFF2-40B4-BE49-F238E27FC236}">
              <a16:creationId xmlns:a16="http://schemas.microsoft.com/office/drawing/2014/main" id="{B94F83DC-ED54-654A-8C7C-13DE9361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4" name="Picture 1" descr="https://medya-cdn.tjk.org/imageftp/Img/e1.gif">
          <a:extLst>
            <a:ext uri="{FF2B5EF4-FFF2-40B4-BE49-F238E27FC236}">
              <a16:creationId xmlns:a16="http://schemas.microsoft.com/office/drawing/2014/main" id="{F9996D8E-C627-1641-B1B6-9226D19F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5" name="Picture 1" descr="https://medya-cdn.tjk.org/imageftp/Img/e1.gif">
          <a:extLst>
            <a:ext uri="{FF2B5EF4-FFF2-40B4-BE49-F238E27FC236}">
              <a16:creationId xmlns:a16="http://schemas.microsoft.com/office/drawing/2014/main" id="{07EED090-DDA1-7E45-BB31-864BB511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7</xdr:row>
      <xdr:rowOff>15452</xdr:rowOff>
    </xdr:to>
    <xdr:pic>
      <xdr:nvPicPr>
        <xdr:cNvPr id="176" name="Picture 1" descr="https://medya-cdn.tjk.org/imageftp/Img/e1.gif">
          <a:extLst>
            <a:ext uri="{FF2B5EF4-FFF2-40B4-BE49-F238E27FC236}">
              <a16:creationId xmlns:a16="http://schemas.microsoft.com/office/drawing/2014/main" id="{106604D1-E969-4440-8CAB-F5278211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8282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77" name="Picture 1" descr="https://medya-cdn.tjk.org/imageftp/Img/e1.gif">
          <a:extLst>
            <a:ext uri="{FF2B5EF4-FFF2-40B4-BE49-F238E27FC236}">
              <a16:creationId xmlns:a16="http://schemas.microsoft.com/office/drawing/2014/main" id="{0101B9CF-85C7-2643-8EFE-0487B206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78" name="Picture 1" descr="https://medya-cdn.tjk.org/imageftp/Img/e1.gif">
          <a:extLst>
            <a:ext uri="{FF2B5EF4-FFF2-40B4-BE49-F238E27FC236}">
              <a16:creationId xmlns:a16="http://schemas.microsoft.com/office/drawing/2014/main" id="{FE4C4B46-8B89-A34F-B3AE-2A1B292B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79" name="Picture 1" descr="https://medya-cdn.tjk.org/imageftp/Img/e1.gif">
          <a:extLst>
            <a:ext uri="{FF2B5EF4-FFF2-40B4-BE49-F238E27FC236}">
              <a16:creationId xmlns:a16="http://schemas.microsoft.com/office/drawing/2014/main" id="{937BAF4F-AD51-DA4A-BC67-FFA00F439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80" name="Picture 1" descr="https://medya-cdn.tjk.org/imageftp/Img/e1.gif">
          <a:extLst>
            <a:ext uri="{FF2B5EF4-FFF2-40B4-BE49-F238E27FC236}">
              <a16:creationId xmlns:a16="http://schemas.microsoft.com/office/drawing/2014/main" id="{4326C0E7-CE67-EA40-BDC8-5EF03CF50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81" name="Picture 1" descr="https://medya-cdn.tjk.org/imageftp/Img/e1.gif">
          <a:extLst>
            <a:ext uri="{FF2B5EF4-FFF2-40B4-BE49-F238E27FC236}">
              <a16:creationId xmlns:a16="http://schemas.microsoft.com/office/drawing/2014/main" id="{2AE65698-2A0F-2D47-AE08-CEF054545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82" name="Picture 1" descr="https://medya-cdn.tjk.org/imageftp/Img/e1.gif">
          <a:extLst>
            <a:ext uri="{FF2B5EF4-FFF2-40B4-BE49-F238E27FC236}">
              <a16:creationId xmlns:a16="http://schemas.microsoft.com/office/drawing/2014/main" id="{E5D280A8-AE00-0648-8CD9-00EA17E5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83" name="Picture 1" descr="https://medya-cdn.tjk.org/imageftp/Img/e1.gif">
          <a:extLst>
            <a:ext uri="{FF2B5EF4-FFF2-40B4-BE49-F238E27FC236}">
              <a16:creationId xmlns:a16="http://schemas.microsoft.com/office/drawing/2014/main" id="{12EA125B-96FD-F94E-9081-E8396829C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43392</xdr:rowOff>
    </xdr:to>
    <xdr:pic>
      <xdr:nvPicPr>
        <xdr:cNvPr id="184" name="Picture 1" descr="https://medya-cdn.tjk.org/imageftp/Img/e1.gif">
          <a:extLst>
            <a:ext uri="{FF2B5EF4-FFF2-40B4-BE49-F238E27FC236}">
              <a16:creationId xmlns:a16="http://schemas.microsoft.com/office/drawing/2014/main" id="{C6F9F836-FA62-A144-8B42-07E0378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2625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85" name="Picture 1" descr="https://medya-cdn.tjk.org/imageftp/Img/e1.gif">
          <a:extLst>
            <a:ext uri="{FF2B5EF4-FFF2-40B4-BE49-F238E27FC236}">
              <a16:creationId xmlns:a16="http://schemas.microsoft.com/office/drawing/2014/main" id="{DF709411-4340-A346-9638-B24A31FB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86" name="Picture 1" descr="https://medya-cdn.tjk.org/imageftp/Img/e1.gif">
          <a:extLst>
            <a:ext uri="{FF2B5EF4-FFF2-40B4-BE49-F238E27FC236}">
              <a16:creationId xmlns:a16="http://schemas.microsoft.com/office/drawing/2014/main" id="{7EA3B7CD-44FF-304E-A303-D4876803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87" name="Picture 1" descr="https://medya-cdn.tjk.org/imageftp/Img/e1.gif">
          <a:extLst>
            <a:ext uri="{FF2B5EF4-FFF2-40B4-BE49-F238E27FC236}">
              <a16:creationId xmlns:a16="http://schemas.microsoft.com/office/drawing/2014/main" id="{00BD6AD6-66B2-6347-8CD4-A0B282F35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88" name="Picture 1" descr="https://medya-cdn.tjk.org/imageftp/Img/e1.gif">
          <a:extLst>
            <a:ext uri="{FF2B5EF4-FFF2-40B4-BE49-F238E27FC236}">
              <a16:creationId xmlns:a16="http://schemas.microsoft.com/office/drawing/2014/main" id="{8C476BBC-59FC-674C-8E1A-5E894DD97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89" name="Picture 1" descr="https://medya-cdn.tjk.org/imageftp/Img/e1.gif">
          <a:extLst>
            <a:ext uri="{FF2B5EF4-FFF2-40B4-BE49-F238E27FC236}">
              <a16:creationId xmlns:a16="http://schemas.microsoft.com/office/drawing/2014/main" id="{AC91EAD0-949E-3A40-A2C5-9B55DCD5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90" name="Picture 1" descr="https://medya-cdn.tjk.org/imageftp/Img/e1.gif">
          <a:extLst>
            <a:ext uri="{FF2B5EF4-FFF2-40B4-BE49-F238E27FC236}">
              <a16:creationId xmlns:a16="http://schemas.microsoft.com/office/drawing/2014/main" id="{9013F91C-8FB9-9840-9BB7-11790B53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91" name="Picture 1" descr="https://medya-cdn.tjk.org/imageftp/Img/e1.gif">
          <a:extLst>
            <a:ext uri="{FF2B5EF4-FFF2-40B4-BE49-F238E27FC236}">
              <a16:creationId xmlns:a16="http://schemas.microsoft.com/office/drawing/2014/main" id="{22A7889A-6B07-9049-B617-B604E3E1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139912</xdr:rowOff>
    </xdr:to>
    <xdr:pic>
      <xdr:nvPicPr>
        <xdr:cNvPr id="192" name="Picture 1" descr="https://medya-cdn.tjk.org/imageftp/Img/e1.gif">
          <a:extLst>
            <a:ext uri="{FF2B5EF4-FFF2-40B4-BE49-F238E27FC236}">
              <a16:creationId xmlns:a16="http://schemas.microsoft.com/office/drawing/2014/main" id="{683BB269-C6ED-1548-881D-4AB2E070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5591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166353</xdr:rowOff>
    </xdr:to>
    <xdr:sp macro="" textlink="">
      <xdr:nvSpPr>
        <xdr:cNvPr id="193" name="AutoShape 3" descr="https://medya-cdn.tjk.org/imageftp/Img/e1.gif">
          <a:extLst>
            <a:ext uri="{FF2B5EF4-FFF2-40B4-BE49-F238E27FC236}">
              <a16:creationId xmlns:a16="http://schemas.microsoft.com/office/drawing/2014/main" id="{729D8A6E-C927-234C-AF3B-C1D957D8ADEC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4256700"/>
          <a:ext cx="304800" cy="7590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87</xdr:row>
      <xdr:rowOff>33710</xdr:rowOff>
    </xdr:to>
    <xdr:sp macro="" textlink="">
      <xdr:nvSpPr>
        <xdr:cNvPr id="194" name="AutoShape 3" descr="https://medya-cdn.tjk.org/imageftp/Img/e1.gif">
          <a:extLst>
            <a:ext uri="{FF2B5EF4-FFF2-40B4-BE49-F238E27FC236}">
              <a16:creationId xmlns:a16="http://schemas.microsoft.com/office/drawing/2014/main" id="{7075B6D5-A14C-2342-9F44-52931FBF4EA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6441100"/>
          <a:ext cx="304800" cy="182864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208684</xdr:rowOff>
    </xdr:to>
    <xdr:sp macro="" textlink="">
      <xdr:nvSpPr>
        <xdr:cNvPr id="195" name="AutoShape 3" descr="https://medya-cdn.tjk.org/imageftp/Img/e1.gif">
          <a:extLst>
            <a:ext uri="{FF2B5EF4-FFF2-40B4-BE49-F238E27FC236}">
              <a16:creationId xmlns:a16="http://schemas.microsoft.com/office/drawing/2014/main" id="{124CFD1B-7D4B-104C-B050-3041DD731D94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6961800"/>
          <a:ext cx="304800" cy="801352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196" name="Picture 14" descr="https://medya-cdn.tjk.org/imageftp/Img/e1.gif">
          <a:extLst>
            <a:ext uri="{FF2B5EF4-FFF2-40B4-BE49-F238E27FC236}">
              <a16:creationId xmlns:a16="http://schemas.microsoft.com/office/drawing/2014/main" id="{7A928C4B-817D-4448-8382-F43CF861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77215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197" name="Picture 15" descr="https://medya-cdn.tjk.org/imageftp/Img/e1.gif">
          <a:extLst>
            <a:ext uri="{FF2B5EF4-FFF2-40B4-BE49-F238E27FC236}">
              <a16:creationId xmlns:a16="http://schemas.microsoft.com/office/drawing/2014/main" id="{67CD73BF-1AA4-0C4A-AC24-2941BD2ED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776984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208687</xdr:rowOff>
    </xdr:to>
    <xdr:sp macro="" textlink="">
      <xdr:nvSpPr>
        <xdr:cNvPr id="198" name="AutoShape 3" descr="https://medya-cdn.tjk.org/imageftp/Img/e1.gif">
          <a:extLst>
            <a:ext uri="{FF2B5EF4-FFF2-40B4-BE49-F238E27FC236}">
              <a16:creationId xmlns:a16="http://schemas.microsoft.com/office/drawing/2014/main" id="{F27EB206-8413-7E44-9EBC-DB3F5EB3F9D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9425600"/>
          <a:ext cx="304800" cy="80135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208687</xdr:rowOff>
    </xdr:to>
    <xdr:sp macro="" textlink="">
      <xdr:nvSpPr>
        <xdr:cNvPr id="199" name="AutoShape 3" descr="https://medya-cdn.tjk.org/imageftp/Img/e1.gif">
          <a:extLst>
            <a:ext uri="{FF2B5EF4-FFF2-40B4-BE49-F238E27FC236}">
              <a16:creationId xmlns:a16="http://schemas.microsoft.com/office/drawing/2014/main" id="{362322AB-8942-204A-805E-06EEF734FA1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82613300"/>
          <a:ext cx="304800" cy="80135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208688</xdr:rowOff>
    </xdr:to>
    <xdr:sp macro="" textlink="">
      <xdr:nvSpPr>
        <xdr:cNvPr id="200" name="AutoShape 3" descr="https://medya-cdn.tjk.org/imageftp/Img/e1.gif">
          <a:extLst>
            <a:ext uri="{FF2B5EF4-FFF2-40B4-BE49-F238E27FC236}">
              <a16:creationId xmlns:a16="http://schemas.microsoft.com/office/drawing/2014/main" id="{00365383-6537-4843-BC04-B16A7083B6AC}"/>
            </a:ext>
          </a:extLst>
        </xdr:cNvPr>
        <xdr:cNvSpPr>
          <a:spLocks noChangeAspect="1" noChangeArrowheads="1"/>
        </xdr:cNvSpPr>
      </xdr:nvSpPr>
      <xdr:spPr bwMode="auto">
        <a:xfrm>
          <a:off x="508000" y="185318400"/>
          <a:ext cx="304800" cy="8013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01" name="Picture 2" descr="https://medya-cdn.tjk.org/imageftp/Img/e1.gif">
          <a:extLst>
            <a:ext uri="{FF2B5EF4-FFF2-40B4-BE49-F238E27FC236}">
              <a16:creationId xmlns:a16="http://schemas.microsoft.com/office/drawing/2014/main" id="{58BBD6BD-8F31-2941-B50F-ED8F97805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202" name="Picture 5" descr="https://medya-cdn.tjk.org/imageftp/Img/e1.gif">
          <a:extLst>
            <a:ext uri="{FF2B5EF4-FFF2-40B4-BE49-F238E27FC236}">
              <a16:creationId xmlns:a16="http://schemas.microsoft.com/office/drawing/2014/main" id="{EFF5960E-9BC3-794E-9C54-5F915F83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03" name="Picture 6" descr="https://medya-cdn.tjk.org/imageftp/Img/e1.gif">
          <a:extLst>
            <a:ext uri="{FF2B5EF4-FFF2-40B4-BE49-F238E27FC236}">
              <a16:creationId xmlns:a16="http://schemas.microsoft.com/office/drawing/2014/main" id="{6BC35D49-D6A7-6E49-A59E-4B6C00FAD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392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04" name="Picture 7" descr="https://medya-cdn.tjk.org/imageftp/Img/e1.gif">
          <a:extLst>
            <a:ext uri="{FF2B5EF4-FFF2-40B4-BE49-F238E27FC236}">
              <a16:creationId xmlns:a16="http://schemas.microsoft.com/office/drawing/2014/main" id="{37F41593-5AB2-AE49-B3CC-4BEA93A3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875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05" name="Picture 4" descr="https://medya-cdn.tjk.org/imageftp/Img/e1.gif">
          <a:extLst>
            <a:ext uri="{FF2B5EF4-FFF2-40B4-BE49-F238E27FC236}">
              <a16:creationId xmlns:a16="http://schemas.microsoft.com/office/drawing/2014/main" id="{82289DA8-00E5-D14F-8FC0-0039C7D9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4447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06" name="Picture 9" descr="https://medya-cdn.tjk.org/imageftp/Img/e1.gif">
          <a:extLst>
            <a:ext uri="{FF2B5EF4-FFF2-40B4-BE49-F238E27FC236}">
              <a16:creationId xmlns:a16="http://schemas.microsoft.com/office/drawing/2014/main" id="{9D8632E1-2601-1244-B6CE-367C4AC9B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710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07" name="Picture 2" descr="https://medya-cdn.tjk.org/imageftp/Img/e1.gif">
          <a:extLst>
            <a:ext uri="{FF2B5EF4-FFF2-40B4-BE49-F238E27FC236}">
              <a16:creationId xmlns:a16="http://schemas.microsoft.com/office/drawing/2014/main" id="{5CD1AF9D-B334-254D-8658-811E02B8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208" name="Picture 5" descr="https://medya-cdn.tjk.org/imageftp/Img/e1.gif">
          <a:extLst>
            <a:ext uri="{FF2B5EF4-FFF2-40B4-BE49-F238E27FC236}">
              <a16:creationId xmlns:a16="http://schemas.microsoft.com/office/drawing/2014/main" id="{50374ECB-0C39-E947-939C-D96D5C3B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209" name="Picture 12" descr="https://medya-cdn.tjk.org/imageftp/Img/e1.gif">
          <a:extLst>
            <a:ext uri="{FF2B5EF4-FFF2-40B4-BE49-F238E27FC236}">
              <a16:creationId xmlns:a16="http://schemas.microsoft.com/office/drawing/2014/main" id="{43996D9F-6908-5943-B130-BDDD4A1B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210" name="Picture 12" descr="https://medya-cdn.tjk.org/imageftp/Img/e1.gif">
          <a:extLst>
            <a:ext uri="{FF2B5EF4-FFF2-40B4-BE49-F238E27FC236}">
              <a16:creationId xmlns:a16="http://schemas.microsoft.com/office/drawing/2014/main" id="{B2006A25-79C3-1A44-AEBE-22E0AB98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211" name="Picture 12" descr="https://medya-cdn.tjk.org/imageftp/Img/e1.gif">
          <a:extLst>
            <a:ext uri="{FF2B5EF4-FFF2-40B4-BE49-F238E27FC236}">
              <a16:creationId xmlns:a16="http://schemas.microsoft.com/office/drawing/2014/main" id="{BB32F373-ABF9-3D46-88D0-ED9FCFCB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50</xdr:row>
      <xdr:rowOff>9525</xdr:rowOff>
    </xdr:from>
    <xdr:to>
      <xdr:col>1</xdr:col>
      <xdr:colOff>834390</xdr:colOff>
      <xdr:row>50</xdr:row>
      <xdr:rowOff>152400</xdr:rowOff>
    </xdr:to>
    <xdr:pic>
      <xdr:nvPicPr>
        <xdr:cNvPr id="212" name="Picture 12" descr="https://medya-cdn.tjk.org/imageftp/Img/e1.gif">
          <a:extLst>
            <a:ext uri="{FF2B5EF4-FFF2-40B4-BE49-F238E27FC236}">
              <a16:creationId xmlns:a16="http://schemas.microsoft.com/office/drawing/2014/main" id="{2F59BB93-FF59-1D4B-A39A-FC44DA0E2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1634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13" name="Picture 2" descr="https://medya-cdn.tjk.org/imageftp/Img/e1.gif">
          <a:extLst>
            <a:ext uri="{FF2B5EF4-FFF2-40B4-BE49-F238E27FC236}">
              <a16:creationId xmlns:a16="http://schemas.microsoft.com/office/drawing/2014/main" id="{0041D521-AD3E-A942-976C-68613175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214" name="Picture 5" descr="https://medya-cdn.tjk.org/imageftp/Img/e1.gif">
          <a:extLst>
            <a:ext uri="{FF2B5EF4-FFF2-40B4-BE49-F238E27FC236}">
              <a16:creationId xmlns:a16="http://schemas.microsoft.com/office/drawing/2014/main" id="{B59C0821-47F9-AB4E-B0A9-5B3742007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15" name="Picture 2" descr="https://medya-cdn.tjk.org/imageftp/Img/e1.gif">
          <a:extLst>
            <a:ext uri="{FF2B5EF4-FFF2-40B4-BE49-F238E27FC236}">
              <a16:creationId xmlns:a16="http://schemas.microsoft.com/office/drawing/2014/main" id="{BAD812DF-E76B-1947-8CF1-0AF1406A1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216" name="Picture 5" descr="https://medya-cdn.tjk.org/imageftp/Img/e1.gif">
          <a:extLst>
            <a:ext uri="{FF2B5EF4-FFF2-40B4-BE49-F238E27FC236}">
              <a16:creationId xmlns:a16="http://schemas.microsoft.com/office/drawing/2014/main" id="{8B62D787-CF94-494A-B667-0722337A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198120</xdr:colOff>
      <xdr:row>31</xdr:row>
      <xdr:rowOff>144780</xdr:rowOff>
    </xdr:to>
    <xdr:pic>
      <xdr:nvPicPr>
        <xdr:cNvPr id="217" name="Picture 2" descr="https://medya-cdn.tjk.org/imageftp/Img/e1.gif">
          <a:extLst>
            <a:ext uri="{FF2B5EF4-FFF2-40B4-BE49-F238E27FC236}">
              <a16:creationId xmlns:a16="http://schemas.microsoft.com/office/drawing/2014/main" id="{03E4C292-3FFB-E949-B080-E38DAD848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7569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198120</xdr:colOff>
      <xdr:row>33</xdr:row>
      <xdr:rowOff>144780</xdr:rowOff>
    </xdr:to>
    <xdr:pic>
      <xdr:nvPicPr>
        <xdr:cNvPr id="218" name="Picture 5" descr="https://medya-cdn.tjk.org/imageftp/Img/e1.gif">
          <a:extLst>
            <a:ext uri="{FF2B5EF4-FFF2-40B4-BE49-F238E27FC236}">
              <a16:creationId xmlns:a16="http://schemas.microsoft.com/office/drawing/2014/main" id="{DF6060B4-418A-E447-AF80-736763EA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805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19" name="Picture 6" descr="https://medya-cdn.tjk.org/imageftp/Img/e1.gif">
          <a:extLst>
            <a:ext uri="{FF2B5EF4-FFF2-40B4-BE49-F238E27FC236}">
              <a16:creationId xmlns:a16="http://schemas.microsoft.com/office/drawing/2014/main" id="{183EAE3B-0DA6-E04C-9A79-69EC87CE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392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20" name="Picture 7" descr="https://medya-cdn.tjk.org/imageftp/Img/e1.gif">
          <a:extLst>
            <a:ext uri="{FF2B5EF4-FFF2-40B4-BE49-F238E27FC236}">
              <a16:creationId xmlns:a16="http://schemas.microsoft.com/office/drawing/2014/main" id="{F6B429D3-9D3E-2048-870B-7EDCC3EE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9875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21" name="Picture 4" descr="https://medya-cdn.tjk.org/imageftp/Img/e1.gif">
          <a:extLst>
            <a:ext uri="{FF2B5EF4-FFF2-40B4-BE49-F238E27FC236}">
              <a16:creationId xmlns:a16="http://schemas.microsoft.com/office/drawing/2014/main" id="{63D8A1CF-C9A7-2B4F-A1EB-84F4E493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44475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22" name="Picture 9" descr="https://medya-cdn.tjk.org/imageftp/Img/e1.gif">
          <a:extLst>
            <a:ext uri="{FF2B5EF4-FFF2-40B4-BE49-F238E27FC236}">
              <a16:creationId xmlns:a16="http://schemas.microsoft.com/office/drawing/2014/main" id="{4E13CD1A-B134-AB4D-B035-E19AE2C2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27101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891540</xdr:colOff>
      <xdr:row>77</xdr:row>
      <xdr:rowOff>0</xdr:rowOff>
    </xdr:from>
    <xdr:to>
      <xdr:col>1</xdr:col>
      <xdr:colOff>891540</xdr:colOff>
      <xdr:row>81</xdr:row>
      <xdr:rowOff>77663</xdr:rowOff>
    </xdr:to>
    <xdr:pic>
      <xdr:nvPicPr>
        <xdr:cNvPr id="223" name="Picture 48" descr="https://medya-cdn.tjk.org/imageftp/Img/e1.gif">
          <a:extLst>
            <a:ext uri="{FF2B5EF4-FFF2-40B4-BE49-F238E27FC236}">
              <a16:creationId xmlns:a16="http://schemas.microsoft.com/office/drawing/2014/main" id="{2E1971A6-C511-0749-8F9D-4DE76753D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9540" y="42230040"/>
          <a:ext cx="0" cy="85659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937260</xdr:colOff>
      <xdr:row>77</xdr:row>
      <xdr:rowOff>0</xdr:rowOff>
    </xdr:from>
    <xdr:to>
      <xdr:col>1</xdr:col>
      <xdr:colOff>937260</xdr:colOff>
      <xdr:row>77</xdr:row>
      <xdr:rowOff>144780</xdr:rowOff>
    </xdr:to>
    <xdr:pic>
      <xdr:nvPicPr>
        <xdr:cNvPr id="224" name="Picture 61" descr="https://medya-cdn.tjk.org/imageftp/Img/e2.gif">
          <a:extLst>
            <a:ext uri="{FF2B5EF4-FFF2-40B4-BE49-F238E27FC236}">
              <a16:creationId xmlns:a16="http://schemas.microsoft.com/office/drawing/2014/main" id="{DD457E6F-4267-174F-B6B5-BFE938F6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5260" y="4522216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998220</xdr:colOff>
      <xdr:row>77</xdr:row>
      <xdr:rowOff>0</xdr:rowOff>
    </xdr:from>
    <xdr:to>
      <xdr:col>1</xdr:col>
      <xdr:colOff>998220</xdr:colOff>
      <xdr:row>77</xdr:row>
      <xdr:rowOff>144780</xdr:rowOff>
    </xdr:to>
    <xdr:pic>
      <xdr:nvPicPr>
        <xdr:cNvPr id="225" name="Picture 64" descr="https://medya-cdn.tjk.org/imageftp/Img/e1.gif">
          <a:extLst>
            <a:ext uri="{FF2B5EF4-FFF2-40B4-BE49-F238E27FC236}">
              <a16:creationId xmlns:a16="http://schemas.microsoft.com/office/drawing/2014/main" id="{6A496748-9C1B-A04B-8776-1EC9F1F5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6220" y="4568952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1074420</xdr:colOff>
      <xdr:row>77</xdr:row>
      <xdr:rowOff>0</xdr:rowOff>
    </xdr:from>
    <xdr:to>
      <xdr:col>1</xdr:col>
      <xdr:colOff>1074420</xdr:colOff>
      <xdr:row>77</xdr:row>
      <xdr:rowOff>144780</xdr:rowOff>
    </xdr:to>
    <xdr:pic>
      <xdr:nvPicPr>
        <xdr:cNvPr id="226" name="Picture 68" descr="https://medya-cdn.tjk.org/imageftp/Img/e2.gif">
          <a:extLst>
            <a:ext uri="{FF2B5EF4-FFF2-40B4-BE49-F238E27FC236}">
              <a16:creationId xmlns:a16="http://schemas.microsoft.com/office/drawing/2014/main" id="{57B74A03-7C42-4940-BB1B-21A89145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82420" y="46428660"/>
          <a:ext cx="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1085850</xdr:colOff>
      <xdr:row>77</xdr:row>
      <xdr:rowOff>141991</xdr:rowOff>
    </xdr:to>
    <xdr:pic>
      <xdr:nvPicPr>
        <xdr:cNvPr id="227" name="Picture 1" descr="https://medya-cdn.tjk.org/imageftp/Img/e1.gif">
          <a:extLst>
            <a:ext uri="{FF2B5EF4-FFF2-40B4-BE49-F238E27FC236}">
              <a16:creationId xmlns:a16="http://schemas.microsoft.com/office/drawing/2014/main" id="{3FCF8A90-E6D7-B945-B7F5-CE98AE6C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79197200"/>
          <a:ext cx="200025" cy="14199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1019175</xdr:colOff>
      <xdr:row>77</xdr:row>
      <xdr:rowOff>142875</xdr:rowOff>
    </xdr:to>
    <xdr:pic>
      <xdr:nvPicPr>
        <xdr:cNvPr id="228" name="Picture 12" descr="https://medya-cdn.tjk.org/imageftp/Img/e1.gif">
          <a:extLst>
            <a:ext uri="{FF2B5EF4-FFF2-40B4-BE49-F238E27FC236}">
              <a16:creationId xmlns:a16="http://schemas.microsoft.com/office/drawing/2014/main" id="{C46C0627-D9EE-D24C-A2C7-823DFEBB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81822925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229" name="Picture 16" descr="https://medya-cdn.tjk.org/imageftp/Img/e1.gif">
          <a:extLst>
            <a:ext uri="{FF2B5EF4-FFF2-40B4-BE49-F238E27FC236}">
              <a16:creationId xmlns:a16="http://schemas.microsoft.com/office/drawing/2014/main" id="{45FF9F36-0573-EC4B-AB8F-F13F8A802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230" name="Picture 18" descr="https://medya-cdn.tjk.org/imageftp/Img/e1.gif">
          <a:extLst>
            <a:ext uri="{FF2B5EF4-FFF2-40B4-BE49-F238E27FC236}">
              <a16:creationId xmlns:a16="http://schemas.microsoft.com/office/drawing/2014/main" id="{C0208053-701F-5E49-AF46-99586C76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231" name="Picture 12" descr="https://medya-cdn.tjk.org/imageftp/Img/e1.gif">
          <a:extLst>
            <a:ext uri="{FF2B5EF4-FFF2-40B4-BE49-F238E27FC236}">
              <a16:creationId xmlns:a16="http://schemas.microsoft.com/office/drawing/2014/main" id="{8ECDECA2-09B3-584D-853C-281C5146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200025</xdr:colOff>
      <xdr:row>77</xdr:row>
      <xdr:rowOff>142875</xdr:rowOff>
    </xdr:to>
    <xdr:pic>
      <xdr:nvPicPr>
        <xdr:cNvPr id="232" name="Picture 15" descr="https://medya-cdn.tjk.org/imageftp/Img/e1.gif">
          <a:extLst>
            <a:ext uri="{FF2B5EF4-FFF2-40B4-BE49-F238E27FC236}">
              <a16:creationId xmlns:a16="http://schemas.microsoft.com/office/drawing/2014/main" id="{3027211F-131D-7A4C-A19D-14CC396FC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00" y="1050163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1150620</xdr:colOff>
      <xdr:row>77</xdr:row>
      <xdr:rowOff>0</xdr:rowOff>
    </xdr:from>
    <xdr:to>
      <xdr:col>1</xdr:col>
      <xdr:colOff>1272540</xdr:colOff>
      <xdr:row>77</xdr:row>
      <xdr:rowOff>144780</xdr:rowOff>
    </xdr:to>
    <xdr:pic>
      <xdr:nvPicPr>
        <xdr:cNvPr id="233" name="Picture 48" descr="https://medya-cdn.tjk.org/imageftp/Img/e1.gif">
          <a:extLst>
            <a:ext uri="{FF2B5EF4-FFF2-40B4-BE49-F238E27FC236}">
              <a16:creationId xmlns:a16="http://schemas.microsoft.com/office/drawing/2014/main" id="{FF023FA8-5838-1E48-9BC6-7F900E9F9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58620" y="116387880"/>
          <a:ext cx="1219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1181100</xdr:colOff>
      <xdr:row>77</xdr:row>
      <xdr:rowOff>0</xdr:rowOff>
    </xdr:from>
    <xdr:to>
      <xdr:col>1</xdr:col>
      <xdr:colOff>1303020</xdr:colOff>
      <xdr:row>77</xdr:row>
      <xdr:rowOff>144780</xdr:rowOff>
    </xdr:to>
    <xdr:pic>
      <xdr:nvPicPr>
        <xdr:cNvPr id="234" name="Picture 48" descr="https://medya-cdn.tjk.org/imageftp/Img/e1.gif">
          <a:extLst>
            <a:ext uri="{FF2B5EF4-FFF2-40B4-BE49-F238E27FC236}">
              <a16:creationId xmlns:a16="http://schemas.microsoft.com/office/drawing/2014/main" id="{C783161C-7144-1242-B4DE-BC896DD47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9100" y="117088920"/>
          <a:ext cx="1219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61383</xdr:rowOff>
    </xdr:to>
    <xdr:sp macro="" textlink="">
      <xdr:nvSpPr>
        <xdr:cNvPr id="235" name="AutoShape 3" descr="https://medya-cdn.tjk.org/imageftp/Img/e1.gif">
          <a:extLst>
            <a:ext uri="{FF2B5EF4-FFF2-40B4-BE49-F238E27FC236}">
              <a16:creationId xmlns:a16="http://schemas.microsoft.com/office/drawing/2014/main" id="{675A28BA-5B2F-CA4E-AA48-F18421522F1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18046500"/>
          <a:ext cx="304800" cy="87418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36" name="Picture 1" descr="https://medya-cdn.tjk.org/imageftp/Img/e1.gif">
          <a:extLst>
            <a:ext uri="{FF2B5EF4-FFF2-40B4-BE49-F238E27FC236}">
              <a16:creationId xmlns:a16="http://schemas.microsoft.com/office/drawing/2014/main" id="{2FDF5822-E8E2-234B-8479-96C2BE16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37" name="Picture 1" descr="https://medya-cdn.tjk.org/imageftp/Img/e1.gif">
          <a:extLst>
            <a:ext uri="{FF2B5EF4-FFF2-40B4-BE49-F238E27FC236}">
              <a16:creationId xmlns:a16="http://schemas.microsoft.com/office/drawing/2014/main" id="{9B415761-914C-3545-B480-C4935A09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38" name="Picture 1" descr="https://medya-cdn.tjk.org/imageftp/Img/e1.gif">
          <a:extLst>
            <a:ext uri="{FF2B5EF4-FFF2-40B4-BE49-F238E27FC236}">
              <a16:creationId xmlns:a16="http://schemas.microsoft.com/office/drawing/2014/main" id="{59CB6F96-0CDF-3C4A-81D8-600C5835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39" name="Picture 1" descr="https://medya-cdn.tjk.org/imageftp/Img/e1.gif">
          <a:extLst>
            <a:ext uri="{FF2B5EF4-FFF2-40B4-BE49-F238E27FC236}">
              <a16:creationId xmlns:a16="http://schemas.microsoft.com/office/drawing/2014/main" id="{9DC881DD-E3E7-9447-A0EB-6CF02EC5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0" name="Picture 1" descr="https://medya-cdn.tjk.org/imageftp/Img/e1.gif">
          <a:extLst>
            <a:ext uri="{FF2B5EF4-FFF2-40B4-BE49-F238E27FC236}">
              <a16:creationId xmlns:a16="http://schemas.microsoft.com/office/drawing/2014/main" id="{89B4530C-6D13-F34F-9EB4-D5EDB7350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1" name="Picture 1" descr="https://medya-cdn.tjk.org/imageftp/Img/e1.gif">
          <a:extLst>
            <a:ext uri="{FF2B5EF4-FFF2-40B4-BE49-F238E27FC236}">
              <a16:creationId xmlns:a16="http://schemas.microsoft.com/office/drawing/2014/main" id="{87390497-FB56-654D-8E69-01B88B456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2" name="Picture 1" descr="https://medya-cdn.tjk.org/imageftp/Img/e1.gif">
          <a:extLst>
            <a:ext uri="{FF2B5EF4-FFF2-40B4-BE49-F238E27FC236}">
              <a16:creationId xmlns:a16="http://schemas.microsoft.com/office/drawing/2014/main" id="{33B8BCAA-1C49-C349-B032-E39635E8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3" name="Picture 1" descr="https://medya-cdn.tjk.org/imageftp/Img/e1.gif">
          <a:extLst>
            <a:ext uri="{FF2B5EF4-FFF2-40B4-BE49-F238E27FC236}">
              <a16:creationId xmlns:a16="http://schemas.microsoft.com/office/drawing/2014/main" id="{5A4DF87F-31BC-0C4C-AFE9-B9608800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4" name="Picture 1" descr="https://medya-cdn.tjk.org/imageftp/Img/e1.gif">
          <a:extLst>
            <a:ext uri="{FF2B5EF4-FFF2-40B4-BE49-F238E27FC236}">
              <a16:creationId xmlns:a16="http://schemas.microsoft.com/office/drawing/2014/main" id="{FFB92291-7B8F-2B4F-BEB9-03AD66A7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5" name="Picture 1" descr="https://medya-cdn.tjk.org/imageftp/Img/e1.gif">
          <a:extLst>
            <a:ext uri="{FF2B5EF4-FFF2-40B4-BE49-F238E27FC236}">
              <a16:creationId xmlns:a16="http://schemas.microsoft.com/office/drawing/2014/main" id="{F2B9BF1D-F455-944A-A18C-9B3417D7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6" name="Picture 1" descr="https://medya-cdn.tjk.org/imageftp/Img/e1.gif">
          <a:extLst>
            <a:ext uri="{FF2B5EF4-FFF2-40B4-BE49-F238E27FC236}">
              <a16:creationId xmlns:a16="http://schemas.microsoft.com/office/drawing/2014/main" id="{32175874-95CE-9842-97FC-D3544C5E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7" name="Picture 1" descr="https://medya-cdn.tjk.org/imageftp/Img/e1.gif">
          <a:extLst>
            <a:ext uri="{FF2B5EF4-FFF2-40B4-BE49-F238E27FC236}">
              <a16:creationId xmlns:a16="http://schemas.microsoft.com/office/drawing/2014/main" id="{534AAB59-5674-024D-92C1-1C010633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8" name="Picture 1" descr="https://medya-cdn.tjk.org/imageftp/Img/e1.gif">
          <a:extLst>
            <a:ext uri="{FF2B5EF4-FFF2-40B4-BE49-F238E27FC236}">
              <a16:creationId xmlns:a16="http://schemas.microsoft.com/office/drawing/2014/main" id="{A1931FE8-ABC0-3344-9D43-D12AB496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49" name="Picture 1" descr="https://medya-cdn.tjk.org/imageftp/Img/e1.gif">
          <a:extLst>
            <a:ext uri="{FF2B5EF4-FFF2-40B4-BE49-F238E27FC236}">
              <a16:creationId xmlns:a16="http://schemas.microsoft.com/office/drawing/2014/main" id="{618387B0-E8F0-3244-A6E4-064A456F5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50" name="Picture 1" descr="https://medya-cdn.tjk.org/imageftp/Img/e1.gif">
          <a:extLst>
            <a:ext uri="{FF2B5EF4-FFF2-40B4-BE49-F238E27FC236}">
              <a16:creationId xmlns:a16="http://schemas.microsoft.com/office/drawing/2014/main" id="{ABD1CFA5-33ED-3044-AB3A-D69A91AE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147532</xdr:rowOff>
    </xdr:to>
    <xdr:pic>
      <xdr:nvPicPr>
        <xdr:cNvPr id="251" name="Picture 1" descr="https://medya-cdn.tjk.org/imageftp/Img/e1.gif">
          <a:extLst>
            <a:ext uri="{FF2B5EF4-FFF2-40B4-BE49-F238E27FC236}">
              <a16:creationId xmlns:a16="http://schemas.microsoft.com/office/drawing/2014/main" id="{284A72C4-EBD8-C94F-886A-47319959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18046500"/>
          <a:ext cx="0" cy="1475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52" name="Picture 3" descr="https://medya-cdn.tjk.org/imageftp/Img/e1.gif">
          <a:extLst>
            <a:ext uri="{FF2B5EF4-FFF2-40B4-BE49-F238E27FC236}">
              <a16:creationId xmlns:a16="http://schemas.microsoft.com/office/drawing/2014/main" id="{31C9D06F-6C2B-A140-A121-18D87601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19253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53" name="Picture 7" descr="https://medya-cdn.tjk.org/imageftp/Img/e1.gif">
          <a:extLst>
            <a:ext uri="{FF2B5EF4-FFF2-40B4-BE49-F238E27FC236}">
              <a16:creationId xmlns:a16="http://schemas.microsoft.com/office/drawing/2014/main" id="{8778E587-286B-4C41-B988-A682BAF6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20218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54" name="Picture 3" descr="https://medya-cdn.tjk.org/imageftp/Img/e1.gif">
          <a:extLst>
            <a:ext uri="{FF2B5EF4-FFF2-40B4-BE49-F238E27FC236}">
              <a16:creationId xmlns:a16="http://schemas.microsoft.com/office/drawing/2014/main" id="{DFDA2BE2-7444-5943-8668-66CC592B3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19253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255" name="Picture 7" descr="https://medya-cdn.tjk.org/imageftp/Img/e1.gif">
          <a:extLst>
            <a:ext uri="{FF2B5EF4-FFF2-40B4-BE49-F238E27FC236}">
              <a16:creationId xmlns:a16="http://schemas.microsoft.com/office/drawing/2014/main" id="{7C8ED597-989D-F043-AD8B-EBB692AD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20218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56" name="Picture 1" descr="https://medya-cdn.tjk.org/imageftp/Img/e1.gif">
          <a:extLst>
            <a:ext uri="{FF2B5EF4-FFF2-40B4-BE49-F238E27FC236}">
              <a16:creationId xmlns:a16="http://schemas.microsoft.com/office/drawing/2014/main" id="{F2D18529-2AB6-8844-8559-C725E4C1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57" name="Picture 1" descr="https://medya-cdn.tjk.org/imageftp/Img/e1.gif">
          <a:extLst>
            <a:ext uri="{FF2B5EF4-FFF2-40B4-BE49-F238E27FC236}">
              <a16:creationId xmlns:a16="http://schemas.microsoft.com/office/drawing/2014/main" id="{28AD4CEE-125C-C742-87BC-17260F1B6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58" name="Picture 1" descr="https://medya-cdn.tjk.org/imageftp/Img/e1.gif">
          <a:extLst>
            <a:ext uri="{FF2B5EF4-FFF2-40B4-BE49-F238E27FC236}">
              <a16:creationId xmlns:a16="http://schemas.microsoft.com/office/drawing/2014/main" id="{408777E8-817D-CF46-93F2-A013C31B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59" name="Picture 1" descr="https://medya-cdn.tjk.org/imageftp/Img/e1.gif">
          <a:extLst>
            <a:ext uri="{FF2B5EF4-FFF2-40B4-BE49-F238E27FC236}">
              <a16:creationId xmlns:a16="http://schemas.microsoft.com/office/drawing/2014/main" id="{E52064A1-F605-9A40-912B-E000E53D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0" name="Picture 1" descr="https://medya-cdn.tjk.org/imageftp/Img/e1.gif">
          <a:extLst>
            <a:ext uri="{FF2B5EF4-FFF2-40B4-BE49-F238E27FC236}">
              <a16:creationId xmlns:a16="http://schemas.microsoft.com/office/drawing/2014/main" id="{AAB3CDEC-E024-EB43-919F-93C9A56C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1" name="Picture 1" descr="https://medya-cdn.tjk.org/imageftp/Img/e1.gif">
          <a:extLst>
            <a:ext uri="{FF2B5EF4-FFF2-40B4-BE49-F238E27FC236}">
              <a16:creationId xmlns:a16="http://schemas.microsoft.com/office/drawing/2014/main" id="{47CB56C1-84AA-1948-8F7D-24A3E98D7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2" name="Picture 1" descr="https://medya-cdn.tjk.org/imageftp/Img/e1.gif">
          <a:extLst>
            <a:ext uri="{FF2B5EF4-FFF2-40B4-BE49-F238E27FC236}">
              <a16:creationId xmlns:a16="http://schemas.microsoft.com/office/drawing/2014/main" id="{D019586A-E2D0-4846-A1FA-28677885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3" name="Picture 1" descr="https://medya-cdn.tjk.org/imageftp/Img/e1.gif">
          <a:extLst>
            <a:ext uri="{FF2B5EF4-FFF2-40B4-BE49-F238E27FC236}">
              <a16:creationId xmlns:a16="http://schemas.microsoft.com/office/drawing/2014/main" id="{4B941359-282E-AB46-B882-E4DF6FCD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4" name="Picture 1" descr="https://medya-cdn.tjk.org/imageftp/Img/e1.gif">
          <a:extLst>
            <a:ext uri="{FF2B5EF4-FFF2-40B4-BE49-F238E27FC236}">
              <a16:creationId xmlns:a16="http://schemas.microsoft.com/office/drawing/2014/main" id="{6E2421D3-23A4-934C-9741-803FECD3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5" name="Picture 1" descr="https://medya-cdn.tjk.org/imageftp/Img/e1.gif">
          <a:extLst>
            <a:ext uri="{FF2B5EF4-FFF2-40B4-BE49-F238E27FC236}">
              <a16:creationId xmlns:a16="http://schemas.microsoft.com/office/drawing/2014/main" id="{1D61820E-DE51-1E47-9D5F-AB5D6010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6" name="Picture 1" descr="https://medya-cdn.tjk.org/imageftp/Img/e1.gif">
          <a:extLst>
            <a:ext uri="{FF2B5EF4-FFF2-40B4-BE49-F238E27FC236}">
              <a16:creationId xmlns:a16="http://schemas.microsoft.com/office/drawing/2014/main" id="{9CC2536A-9EEB-C14A-83F0-182289EA7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7" name="Picture 1" descr="https://medya-cdn.tjk.org/imageftp/Img/e1.gif">
          <a:extLst>
            <a:ext uri="{FF2B5EF4-FFF2-40B4-BE49-F238E27FC236}">
              <a16:creationId xmlns:a16="http://schemas.microsoft.com/office/drawing/2014/main" id="{61D2F34C-D108-E346-9605-07A53F88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8" name="Picture 1" descr="https://medya-cdn.tjk.org/imageftp/Img/e1.gif">
          <a:extLst>
            <a:ext uri="{FF2B5EF4-FFF2-40B4-BE49-F238E27FC236}">
              <a16:creationId xmlns:a16="http://schemas.microsoft.com/office/drawing/2014/main" id="{E2D39B4B-337B-BF4E-87F4-DF6BC384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69" name="Picture 1" descr="https://medya-cdn.tjk.org/imageftp/Img/e1.gif">
          <a:extLst>
            <a:ext uri="{FF2B5EF4-FFF2-40B4-BE49-F238E27FC236}">
              <a16:creationId xmlns:a16="http://schemas.microsoft.com/office/drawing/2014/main" id="{32C4D260-E763-194C-B657-A3CD696E8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70" name="Picture 1" descr="https://medya-cdn.tjk.org/imageftp/Img/e1.gif">
          <a:extLst>
            <a:ext uri="{FF2B5EF4-FFF2-40B4-BE49-F238E27FC236}">
              <a16:creationId xmlns:a16="http://schemas.microsoft.com/office/drawing/2014/main" id="{AD7F49CA-C4BB-2F47-A2E1-4A8643633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77</xdr:row>
      <xdr:rowOff>144569</xdr:rowOff>
    </xdr:to>
    <xdr:pic>
      <xdr:nvPicPr>
        <xdr:cNvPr id="271" name="Picture 1" descr="https://medya-cdn.tjk.org/imageftp/Img/e1.gif">
          <a:extLst>
            <a:ext uri="{FF2B5EF4-FFF2-40B4-BE49-F238E27FC236}">
              <a16:creationId xmlns:a16="http://schemas.microsoft.com/office/drawing/2014/main" id="{21FB4DCC-AB1B-4644-8319-C47994250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3393200"/>
          <a:ext cx="0" cy="144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2" name="Picture 1" descr="https://medya-cdn.tjk.org/imageftp/Img/e1.gif">
          <a:extLst>
            <a:ext uri="{FF2B5EF4-FFF2-40B4-BE49-F238E27FC236}">
              <a16:creationId xmlns:a16="http://schemas.microsoft.com/office/drawing/2014/main" id="{04B5C143-3B8B-F548-9A9C-164400C0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3" name="Picture 1" descr="https://medya-cdn.tjk.org/imageftp/Img/e1.gif">
          <a:extLst>
            <a:ext uri="{FF2B5EF4-FFF2-40B4-BE49-F238E27FC236}">
              <a16:creationId xmlns:a16="http://schemas.microsoft.com/office/drawing/2014/main" id="{E3861EFB-A7AC-2B40-9F60-95FF2F12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4" name="Picture 1" descr="https://medya-cdn.tjk.org/imageftp/Img/e1.gif">
          <a:extLst>
            <a:ext uri="{FF2B5EF4-FFF2-40B4-BE49-F238E27FC236}">
              <a16:creationId xmlns:a16="http://schemas.microsoft.com/office/drawing/2014/main" id="{6009B3D8-211E-964D-972E-B9A8D1B79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5" name="Picture 1" descr="https://medya-cdn.tjk.org/imageftp/Img/e1.gif">
          <a:extLst>
            <a:ext uri="{FF2B5EF4-FFF2-40B4-BE49-F238E27FC236}">
              <a16:creationId xmlns:a16="http://schemas.microsoft.com/office/drawing/2014/main" id="{DE673261-BBA2-644C-AEB8-FF3DB66B3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6" name="Picture 1" descr="https://medya-cdn.tjk.org/imageftp/Img/e1.gif">
          <a:extLst>
            <a:ext uri="{FF2B5EF4-FFF2-40B4-BE49-F238E27FC236}">
              <a16:creationId xmlns:a16="http://schemas.microsoft.com/office/drawing/2014/main" id="{9912F829-E287-E34D-8F1A-8011B69A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7" name="Picture 1" descr="https://medya-cdn.tjk.org/imageftp/Img/e1.gif">
          <a:extLst>
            <a:ext uri="{FF2B5EF4-FFF2-40B4-BE49-F238E27FC236}">
              <a16:creationId xmlns:a16="http://schemas.microsoft.com/office/drawing/2014/main" id="{50AE564D-8CE2-2F42-BEA8-9D2DF646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8" name="Picture 1" descr="https://medya-cdn.tjk.org/imageftp/Img/e1.gif">
          <a:extLst>
            <a:ext uri="{FF2B5EF4-FFF2-40B4-BE49-F238E27FC236}">
              <a16:creationId xmlns:a16="http://schemas.microsoft.com/office/drawing/2014/main" id="{4B72EEAF-697E-D745-87CD-9A7CB4E3B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79" name="Picture 1" descr="https://medya-cdn.tjk.org/imageftp/Img/e1.gif">
          <a:extLst>
            <a:ext uri="{FF2B5EF4-FFF2-40B4-BE49-F238E27FC236}">
              <a16:creationId xmlns:a16="http://schemas.microsoft.com/office/drawing/2014/main" id="{BD04F0C6-C715-C442-A2EC-30640238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0" name="Picture 1" descr="https://medya-cdn.tjk.org/imageftp/Img/e1.gif">
          <a:extLst>
            <a:ext uri="{FF2B5EF4-FFF2-40B4-BE49-F238E27FC236}">
              <a16:creationId xmlns:a16="http://schemas.microsoft.com/office/drawing/2014/main" id="{5FBF0FB4-8F17-1040-89DE-795F2D0F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1" name="Picture 1" descr="https://medya-cdn.tjk.org/imageftp/Img/e1.gif">
          <a:extLst>
            <a:ext uri="{FF2B5EF4-FFF2-40B4-BE49-F238E27FC236}">
              <a16:creationId xmlns:a16="http://schemas.microsoft.com/office/drawing/2014/main" id="{012A7E6F-F581-C047-AF1A-CCC61D61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2" name="Picture 1" descr="https://medya-cdn.tjk.org/imageftp/Img/e1.gif">
          <a:extLst>
            <a:ext uri="{FF2B5EF4-FFF2-40B4-BE49-F238E27FC236}">
              <a16:creationId xmlns:a16="http://schemas.microsoft.com/office/drawing/2014/main" id="{39794002-A96A-5E43-8AF5-8E31E236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3" name="Picture 1" descr="https://medya-cdn.tjk.org/imageftp/Img/e1.gif">
          <a:extLst>
            <a:ext uri="{FF2B5EF4-FFF2-40B4-BE49-F238E27FC236}">
              <a16:creationId xmlns:a16="http://schemas.microsoft.com/office/drawing/2014/main" id="{E528E148-D129-644C-9E33-89ADD0B6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4" name="Picture 1" descr="https://medya-cdn.tjk.org/imageftp/Img/e1.gif">
          <a:extLst>
            <a:ext uri="{FF2B5EF4-FFF2-40B4-BE49-F238E27FC236}">
              <a16:creationId xmlns:a16="http://schemas.microsoft.com/office/drawing/2014/main" id="{536D7C5F-EDBF-E040-8331-6FCA5FFF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5" name="Picture 1" descr="https://medya-cdn.tjk.org/imageftp/Img/e1.gif">
          <a:extLst>
            <a:ext uri="{FF2B5EF4-FFF2-40B4-BE49-F238E27FC236}">
              <a16:creationId xmlns:a16="http://schemas.microsoft.com/office/drawing/2014/main" id="{82CC63AF-E88A-324E-960C-C5F7941A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6" name="Picture 1" descr="https://medya-cdn.tjk.org/imageftp/Img/e1.gif">
          <a:extLst>
            <a:ext uri="{FF2B5EF4-FFF2-40B4-BE49-F238E27FC236}">
              <a16:creationId xmlns:a16="http://schemas.microsoft.com/office/drawing/2014/main" id="{552DEA9B-CD02-D743-AB61-2A689C7AC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7" name="Picture 1" descr="https://medya-cdn.tjk.org/imageftp/Img/e1.gif">
          <a:extLst>
            <a:ext uri="{FF2B5EF4-FFF2-40B4-BE49-F238E27FC236}">
              <a16:creationId xmlns:a16="http://schemas.microsoft.com/office/drawing/2014/main" id="{9C4F1357-7F23-E642-B851-E93A75CE7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8" name="Picture 1" descr="https://medya-cdn.tjk.org/imageftp/Img/e1.gif">
          <a:extLst>
            <a:ext uri="{FF2B5EF4-FFF2-40B4-BE49-F238E27FC236}">
              <a16:creationId xmlns:a16="http://schemas.microsoft.com/office/drawing/2014/main" id="{E3B218F2-7B7F-CF4D-ADDD-5EA75F99D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89" name="Picture 1" descr="https://medya-cdn.tjk.org/imageftp/Img/e1.gif">
          <a:extLst>
            <a:ext uri="{FF2B5EF4-FFF2-40B4-BE49-F238E27FC236}">
              <a16:creationId xmlns:a16="http://schemas.microsoft.com/office/drawing/2014/main" id="{10CA0427-7A37-CA42-9227-0672E5BA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90" name="Picture 1" descr="https://medya-cdn.tjk.org/imageftp/Img/e1.gif">
          <a:extLst>
            <a:ext uri="{FF2B5EF4-FFF2-40B4-BE49-F238E27FC236}">
              <a16:creationId xmlns:a16="http://schemas.microsoft.com/office/drawing/2014/main" id="{57004A0F-EC4B-8E46-A997-FE6F8DC42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885825</xdr:colOff>
      <xdr:row>77</xdr:row>
      <xdr:rowOff>0</xdr:rowOff>
    </xdr:from>
    <xdr:to>
      <xdr:col>1</xdr:col>
      <xdr:colOff>885825</xdr:colOff>
      <xdr:row>79</xdr:row>
      <xdr:rowOff>231542</xdr:rowOff>
    </xdr:to>
    <xdr:pic>
      <xdr:nvPicPr>
        <xdr:cNvPr id="291" name="Picture 1" descr="https://medya-cdn.tjk.org/imageftp/Img/e1.gif">
          <a:extLst>
            <a:ext uri="{FF2B5EF4-FFF2-40B4-BE49-F238E27FC236}">
              <a16:creationId xmlns:a16="http://schemas.microsoft.com/office/drawing/2014/main" id="{9100ABA0-70EE-794F-858B-42F0DDD81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3825" y="126047500"/>
          <a:ext cx="0" cy="6040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292" name="Picture 12" descr="https://medya-cdn.tjk.org/imageftp/Img/e1.gif">
          <a:extLst>
            <a:ext uri="{FF2B5EF4-FFF2-40B4-BE49-F238E27FC236}">
              <a16:creationId xmlns:a16="http://schemas.microsoft.com/office/drawing/2014/main" id="{D83AB6FE-7119-0C42-8204-7DEA611B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293" name="Picture 12" descr="https://medya-cdn.tjk.org/imageftp/Img/e1.gif">
          <a:extLst>
            <a:ext uri="{FF2B5EF4-FFF2-40B4-BE49-F238E27FC236}">
              <a16:creationId xmlns:a16="http://schemas.microsoft.com/office/drawing/2014/main" id="{DB6C1748-C8FE-1341-98F7-36CD8C13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294" name="Picture 12" descr="https://medya-cdn.tjk.org/imageftp/Img/e1.gif">
          <a:extLst>
            <a:ext uri="{FF2B5EF4-FFF2-40B4-BE49-F238E27FC236}">
              <a16:creationId xmlns:a16="http://schemas.microsoft.com/office/drawing/2014/main" id="{D23990AA-F5D8-8B43-9285-93F18340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819150</xdr:colOff>
      <xdr:row>77</xdr:row>
      <xdr:rowOff>0</xdr:rowOff>
    </xdr:from>
    <xdr:to>
      <xdr:col>1</xdr:col>
      <xdr:colOff>834390</xdr:colOff>
      <xdr:row>77</xdr:row>
      <xdr:rowOff>142875</xdr:rowOff>
    </xdr:to>
    <xdr:pic>
      <xdr:nvPicPr>
        <xdr:cNvPr id="295" name="Picture 12" descr="https://medya-cdn.tjk.org/imageftp/Img/e1.gif">
          <a:extLst>
            <a:ext uri="{FF2B5EF4-FFF2-40B4-BE49-F238E27FC236}">
              <a16:creationId xmlns:a16="http://schemas.microsoft.com/office/drawing/2014/main" id="{DBDBA257-9F06-ED44-8C15-48BBA982B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7150" y="128673225"/>
          <a:ext cx="15240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80</xdr:row>
      <xdr:rowOff>165524</xdr:rowOff>
    </xdr:to>
    <xdr:sp macro="" textlink="">
      <xdr:nvSpPr>
        <xdr:cNvPr id="296" name="AutoShape 3" descr="https://medya-cdn.tjk.org/imageftp/Img/e1.gif">
          <a:extLst>
            <a:ext uri="{FF2B5EF4-FFF2-40B4-BE49-F238E27FC236}">
              <a16:creationId xmlns:a16="http://schemas.microsoft.com/office/drawing/2014/main" id="{FA800E5D-C8E4-4046-800D-B6CB3729E1E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66471600"/>
          <a:ext cx="304800" cy="77512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96</xdr:row>
      <xdr:rowOff>113453</xdr:rowOff>
    </xdr:to>
    <xdr:sp macro="" textlink="">
      <xdr:nvSpPr>
        <xdr:cNvPr id="297" name="AutoShape 3" descr="https://medya-cdn.tjk.org/imageftp/Img/e1.gif">
          <a:extLst>
            <a:ext uri="{FF2B5EF4-FFF2-40B4-BE49-F238E27FC236}">
              <a16:creationId xmlns:a16="http://schemas.microsoft.com/office/drawing/2014/main" id="{98B343F4-D3EC-3244-9DA7-AA0A37E7D3D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68414700"/>
          <a:ext cx="304800" cy="39573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109</xdr:row>
      <xdr:rowOff>209991</xdr:rowOff>
    </xdr:to>
    <xdr:sp macro="" textlink="">
      <xdr:nvSpPr>
        <xdr:cNvPr id="298" name="AutoShape 3" descr="https://medya-cdn.tjk.org/imageftp/Img/e1.gif">
          <a:extLst>
            <a:ext uri="{FF2B5EF4-FFF2-40B4-BE49-F238E27FC236}">
              <a16:creationId xmlns:a16="http://schemas.microsoft.com/office/drawing/2014/main" id="{140253DF-D02B-6744-892A-CAF2388017FD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2046900"/>
          <a:ext cx="304800" cy="589959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88</xdr:row>
      <xdr:rowOff>126155</xdr:rowOff>
    </xdr:to>
    <xdr:sp macro="" textlink="">
      <xdr:nvSpPr>
        <xdr:cNvPr id="299" name="AutoShape 3" descr="https://medya-cdn.tjk.org/imageftp/Img/e1.gif">
          <a:extLst>
            <a:ext uri="{FF2B5EF4-FFF2-40B4-BE49-F238E27FC236}">
              <a16:creationId xmlns:a16="http://schemas.microsoft.com/office/drawing/2014/main" id="{82D8B30D-3FDF-2447-9695-9A9DCE90CFC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2090421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91</xdr:row>
      <xdr:rowOff>162122</xdr:rowOff>
    </xdr:to>
    <xdr:sp macro="" textlink="">
      <xdr:nvSpPr>
        <xdr:cNvPr id="300" name="AutoShape 3" descr="https://medya-cdn.tjk.org/imageftp/Img/e1.gif">
          <a:extLst>
            <a:ext uri="{FF2B5EF4-FFF2-40B4-BE49-F238E27FC236}">
              <a16:creationId xmlns:a16="http://schemas.microsoft.com/office/drawing/2014/main" id="{6EF79439-B144-F940-B673-DCBB8ED2B5C3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24650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90</xdr:row>
      <xdr:rowOff>173128</xdr:rowOff>
    </xdr:to>
    <xdr:sp macro="" textlink="">
      <xdr:nvSpPr>
        <xdr:cNvPr id="301" name="AutoShape 3" descr="https://medya-cdn.tjk.org/imageftp/Img/e1.gif">
          <a:extLst>
            <a:ext uri="{FF2B5EF4-FFF2-40B4-BE49-F238E27FC236}">
              <a16:creationId xmlns:a16="http://schemas.microsoft.com/office/drawing/2014/main" id="{D35BF5A2-B063-1649-B1B4-6F4FFE28778F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228979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91</xdr:row>
      <xdr:rowOff>162122</xdr:rowOff>
    </xdr:to>
    <xdr:sp macro="" textlink="">
      <xdr:nvSpPr>
        <xdr:cNvPr id="302" name="AutoShape 3" descr="https://medya-cdn.tjk.org/imageftp/Img/e1.gif">
          <a:extLst>
            <a:ext uri="{FF2B5EF4-FFF2-40B4-BE49-F238E27FC236}">
              <a16:creationId xmlns:a16="http://schemas.microsoft.com/office/drawing/2014/main" id="{92A788CD-3501-1549-A59E-4941AF94761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24650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90</xdr:row>
      <xdr:rowOff>173128</xdr:rowOff>
    </xdr:to>
    <xdr:sp macro="" textlink="">
      <xdr:nvSpPr>
        <xdr:cNvPr id="303" name="AutoShape 3" descr="https://medya-cdn.tjk.org/imageftp/Img/e1.gif">
          <a:extLst>
            <a:ext uri="{FF2B5EF4-FFF2-40B4-BE49-F238E27FC236}">
              <a16:creationId xmlns:a16="http://schemas.microsoft.com/office/drawing/2014/main" id="{4F2AA7DC-40F2-464F-B0D2-E89B03A39A7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3736000"/>
          <a:ext cx="304800" cy="2289794"/>
        </a:xfrm>
        <a:prstGeom prst="rect">
          <a:avLst/>
        </a:prstGeom>
        <a:noFill/>
      </xdr:spPr>
    </xdr:sp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4" name="Picture 1" descr="https://medya-cdn.tjk.org/imageftp/Img/e1.gif">
          <a:extLst>
            <a:ext uri="{FF2B5EF4-FFF2-40B4-BE49-F238E27FC236}">
              <a16:creationId xmlns:a16="http://schemas.microsoft.com/office/drawing/2014/main" id="{603B3404-FDA9-C945-9157-B007F7B1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5" name="Picture 1" descr="https://medya-cdn.tjk.org/imageftp/Img/e1.gif">
          <a:extLst>
            <a:ext uri="{FF2B5EF4-FFF2-40B4-BE49-F238E27FC236}">
              <a16:creationId xmlns:a16="http://schemas.microsoft.com/office/drawing/2014/main" id="{AF4E5FD3-A81D-954A-8B16-EBCB4E892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6" name="Picture 1" descr="https://medya-cdn.tjk.org/imageftp/Img/e1.gif">
          <a:extLst>
            <a:ext uri="{FF2B5EF4-FFF2-40B4-BE49-F238E27FC236}">
              <a16:creationId xmlns:a16="http://schemas.microsoft.com/office/drawing/2014/main" id="{67BC4B44-4393-3244-B077-B3B75C65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7" name="Picture 1" descr="https://medya-cdn.tjk.org/imageftp/Img/e1.gif">
          <a:extLst>
            <a:ext uri="{FF2B5EF4-FFF2-40B4-BE49-F238E27FC236}">
              <a16:creationId xmlns:a16="http://schemas.microsoft.com/office/drawing/2014/main" id="{A343F88D-89F9-4C4E-8C5B-CB784741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8" name="Picture 1" descr="https://medya-cdn.tjk.org/imageftp/Img/e1.gif">
          <a:extLst>
            <a:ext uri="{FF2B5EF4-FFF2-40B4-BE49-F238E27FC236}">
              <a16:creationId xmlns:a16="http://schemas.microsoft.com/office/drawing/2014/main" id="{DE72978C-EE0F-A54B-8700-8F029721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09" name="Picture 1" descr="https://medya-cdn.tjk.org/imageftp/Img/e1.gif">
          <a:extLst>
            <a:ext uri="{FF2B5EF4-FFF2-40B4-BE49-F238E27FC236}">
              <a16:creationId xmlns:a16="http://schemas.microsoft.com/office/drawing/2014/main" id="{3ADE6A42-6397-E940-B994-784AF4C1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0" name="Picture 1" descr="https://medya-cdn.tjk.org/imageftp/Img/e1.gif">
          <a:extLst>
            <a:ext uri="{FF2B5EF4-FFF2-40B4-BE49-F238E27FC236}">
              <a16:creationId xmlns:a16="http://schemas.microsoft.com/office/drawing/2014/main" id="{0606616D-B6BD-914D-B158-A173B4CE0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1" name="Picture 1" descr="https://medya-cdn.tjk.org/imageftp/Img/e1.gif">
          <a:extLst>
            <a:ext uri="{FF2B5EF4-FFF2-40B4-BE49-F238E27FC236}">
              <a16:creationId xmlns:a16="http://schemas.microsoft.com/office/drawing/2014/main" id="{A8AD710A-656C-6C4C-B4F4-7D24C26B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2" name="Picture 1" descr="https://medya-cdn.tjk.org/imageftp/Img/e1.gif">
          <a:extLst>
            <a:ext uri="{FF2B5EF4-FFF2-40B4-BE49-F238E27FC236}">
              <a16:creationId xmlns:a16="http://schemas.microsoft.com/office/drawing/2014/main" id="{859BEB87-2D87-A348-95CC-0910FD63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3" name="Picture 1" descr="https://medya-cdn.tjk.org/imageftp/Img/e1.gif">
          <a:extLst>
            <a:ext uri="{FF2B5EF4-FFF2-40B4-BE49-F238E27FC236}">
              <a16:creationId xmlns:a16="http://schemas.microsoft.com/office/drawing/2014/main" id="{9EB0EF4B-7956-3D4C-81D7-BCD527607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4" name="Picture 1" descr="https://medya-cdn.tjk.org/imageftp/Img/e1.gif">
          <a:extLst>
            <a:ext uri="{FF2B5EF4-FFF2-40B4-BE49-F238E27FC236}">
              <a16:creationId xmlns:a16="http://schemas.microsoft.com/office/drawing/2014/main" id="{A044673C-26FD-2846-8100-784C2C4A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5" name="Picture 1" descr="https://medya-cdn.tjk.org/imageftp/Img/e1.gif">
          <a:extLst>
            <a:ext uri="{FF2B5EF4-FFF2-40B4-BE49-F238E27FC236}">
              <a16:creationId xmlns:a16="http://schemas.microsoft.com/office/drawing/2014/main" id="{D7C8A63B-A6CB-EA47-84B3-CF796B6E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6" name="Picture 1" descr="https://medya-cdn.tjk.org/imageftp/Img/e1.gif">
          <a:extLst>
            <a:ext uri="{FF2B5EF4-FFF2-40B4-BE49-F238E27FC236}">
              <a16:creationId xmlns:a16="http://schemas.microsoft.com/office/drawing/2014/main" id="{B9A45210-94CB-D64C-8809-955B127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7" name="Picture 1" descr="https://medya-cdn.tjk.org/imageftp/Img/e1.gif">
          <a:extLst>
            <a:ext uri="{FF2B5EF4-FFF2-40B4-BE49-F238E27FC236}">
              <a16:creationId xmlns:a16="http://schemas.microsoft.com/office/drawing/2014/main" id="{56EC3BC7-059D-2147-8EE9-A95ADF23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8" name="Picture 1" descr="https://medya-cdn.tjk.org/imageftp/Img/e1.gif">
          <a:extLst>
            <a:ext uri="{FF2B5EF4-FFF2-40B4-BE49-F238E27FC236}">
              <a16:creationId xmlns:a16="http://schemas.microsoft.com/office/drawing/2014/main" id="{6C696A7C-88AE-3F46-8505-080DECBB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162772</xdr:rowOff>
    </xdr:to>
    <xdr:pic>
      <xdr:nvPicPr>
        <xdr:cNvPr id="319" name="Picture 1" descr="https://medya-cdn.tjk.org/imageftp/Img/e1.gif">
          <a:extLst>
            <a:ext uri="{FF2B5EF4-FFF2-40B4-BE49-F238E27FC236}">
              <a16:creationId xmlns:a16="http://schemas.microsoft.com/office/drawing/2014/main" id="{ABF0204E-C864-D147-BCE6-F946B4323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17877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0" name="Picture 1" descr="https://medya-cdn.tjk.org/imageftp/Img/e1.gif">
          <a:extLst>
            <a:ext uri="{FF2B5EF4-FFF2-40B4-BE49-F238E27FC236}">
              <a16:creationId xmlns:a16="http://schemas.microsoft.com/office/drawing/2014/main" id="{6DD6630B-0E48-1545-BFC8-F2C0184F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1" name="Picture 1" descr="https://medya-cdn.tjk.org/imageftp/Img/e1.gif">
          <a:extLst>
            <a:ext uri="{FF2B5EF4-FFF2-40B4-BE49-F238E27FC236}">
              <a16:creationId xmlns:a16="http://schemas.microsoft.com/office/drawing/2014/main" id="{9E658BBE-AD3F-7945-BCCE-787242BB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2" name="Picture 1" descr="https://medya-cdn.tjk.org/imageftp/Img/e1.gif">
          <a:extLst>
            <a:ext uri="{FF2B5EF4-FFF2-40B4-BE49-F238E27FC236}">
              <a16:creationId xmlns:a16="http://schemas.microsoft.com/office/drawing/2014/main" id="{A673E771-3F74-E548-9801-1B78F9E79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3" name="Picture 1" descr="https://medya-cdn.tjk.org/imageftp/Img/e1.gif">
          <a:extLst>
            <a:ext uri="{FF2B5EF4-FFF2-40B4-BE49-F238E27FC236}">
              <a16:creationId xmlns:a16="http://schemas.microsoft.com/office/drawing/2014/main" id="{0EC51E6E-BAEB-1845-BDB0-7009DFB7A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4" name="Picture 1" descr="https://medya-cdn.tjk.org/imageftp/Img/e1.gif">
          <a:extLst>
            <a:ext uri="{FF2B5EF4-FFF2-40B4-BE49-F238E27FC236}">
              <a16:creationId xmlns:a16="http://schemas.microsoft.com/office/drawing/2014/main" id="{F78F6A99-F52E-654B-BBC0-40ECA70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5" name="Picture 1" descr="https://medya-cdn.tjk.org/imageftp/Img/e1.gif">
          <a:extLst>
            <a:ext uri="{FF2B5EF4-FFF2-40B4-BE49-F238E27FC236}">
              <a16:creationId xmlns:a16="http://schemas.microsoft.com/office/drawing/2014/main" id="{0B45646E-E5F6-B04F-BA9E-B3F37F1C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6" name="Picture 1" descr="https://medya-cdn.tjk.org/imageftp/Img/e1.gif">
          <a:extLst>
            <a:ext uri="{FF2B5EF4-FFF2-40B4-BE49-F238E27FC236}">
              <a16:creationId xmlns:a16="http://schemas.microsoft.com/office/drawing/2014/main" id="{EAA92173-B91A-2B46-AD06-DC411D8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27" name="Picture 1" descr="https://medya-cdn.tjk.org/imageftp/Img/e1.gif">
          <a:extLst>
            <a:ext uri="{FF2B5EF4-FFF2-40B4-BE49-F238E27FC236}">
              <a16:creationId xmlns:a16="http://schemas.microsoft.com/office/drawing/2014/main" id="{DA64CDFB-49C1-3040-A55F-42C2216F6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28" name="Picture 1" descr="https://medya-cdn.tjk.org/imageftp/Img/e1.gif">
          <a:extLst>
            <a:ext uri="{FF2B5EF4-FFF2-40B4-BE49-F238E27FC236}">
              <a16:creationId xmlns:a16="http://schemas.microsoft.com/office/drawing/2014/main" id="{D22DF20F-7D66-F44F-9EF7-265B4DA89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29" name="Picture 1" descr="https://medya-cdn.tjk.org/imageftp/Img/e1.gif">
          <a:extLst>
            <a:ext uri="{FF2B5EF4-FFF2-40B4-BE49-F238E27FC236}">
              <a16:creationId xmlns:a16="http://schemas.microsoft.com/office/drawing/2014/main" id="{6EA24026-3192-2243-8E6C-BB58BB84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0" name="Picture 1" descr="https://medya-cdn.tjk.org/imageftp/Img/e1.gif">
          <a:extLst>
            <a:ext uri="{FF2B5EF4-FFF2-40B4-BE49-F238E27FC236}">
              <a16:creationId xmlns:a16="http://schemas.microsoft.com/office/drawing/2014/main" id="{7BEC049C-6953-BE4E-8227-9C05DC507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1" name="Picture 1" descr="https://medya-cdn.tjk.org/imageftp/Img/e1.gif">
          <a:extLst>
            <a:ext uri="{FF2B5EF4-FFF2-40B4-BE49-F238E27FC236}">
              <a16:creationId xmlns:a16="http://schemas.microsoft.com/office/drawing/2014/main" id="{46D76471-9F78-2E4C-A38D-9F13A159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2" name="Picture 1" descr="https://medya-cdn.tjk.org/imageftp/Img/e1.gif">
          <a:extLst>
            <a:ext uri="{FF2B5EF4-FFF2-40B4-BE49-F238E27FC236}">
              <a16:creationId xmlns:a16="http://schemas.microsoft.com/office/drawing/2014/main" id="{C949BA95-E6B6-8944-950D-D4C1303B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3" name="Picture 1" descr="https://medya-cdn.tjk.org/imageftp/Img/e1.gif">
          <a:extLst>
            <a:ext uri="{FF2B5EF4-FFF2-40B4-BE49-F238E27FC236}">
              <a16:creationId xmlns:a16="http://schemas.microsoft.com/office/drawing/2014/main" id="{C13AAE33-5F07-5C4E-9EE7-1D50F4D8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4" name="Picture 1" descr="https://medya-cdn.tjk.org/imageftp/Img/e1.gif">
          <a:extLst>
            <a:ext uri="{FF2B5EF4-FFF2-40B4-BE49-F238E27FC236}">
              <a16:creationId xmlns:a16="http://schemas.microsoft.com/office/drawing/2014/main" id="{342A8495-2C03-0541-8B35-1EA4F700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5" name="Picture 1" descr="https://medya-cdn.tjk.org/imageftp/Img/e1.gif">
          <a:extLst>
            <a:ext uri="{FF2B5EF4-FFF2-40B4-BE49-F238E27FC236}">
              <a16:creationId xmlns:a16="http://schemas.microsoft.com/office/drawing/2014/main" id="{C7BEC8FD-7478-6F45-9A3A-868889AD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6" name="Picture 1" descr="https://medya-cdn.tjk.org/imageftp/Img/e1.gif">
          <a:extLst>
            <a:ext uri="{FF2B5EF4-FFF2-40B4-BE49-F238E27FC236}">
              <a16:creationId xmlns:a16="http://schemas.microsoft.com/office/drawing/2014/main" id="{7EFABFBF-BE17-0D44-A2FA-15BDB21E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7" name="Picture 1" descr="https://medya-cdn.tjk.org/imageftp/Img/e1.gif">
          <a:extLst>
            <a:ext uri="{FF2B5EF4-FFF2-40B4-BE49-F238E27FC236}">
              <a16:creationId xmlns:a16="http://schemas.microsoft.com/office/drawing/2014/main" id="{2E2753D4-F6F8-4A40-9D3E-FFAA0CCDD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8" name="Picture 1" descr="https://medya-cdn.tjk.org/imageftp/Img/e1.gif">
          <a:extLst>
            <a:ext uri="{FF2B5EF4-FFF2-40B4-BE49-F238E27FC236}">
              <a16:creationId xmlns:a16="http://schemas.microsoft.com/office/drawing/2014/main" id="{F9DAC2B4-333C-F643-ABF8-37CA136C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39" name="Picture 1" descr="https://medya-cdn.tjk.org/imageftp/Img/e1.gif">
          <a:extLst>
            <a:ext uri="{FF2B5EF4-FFF2-40B4-BE49-F238E27FC236}">
              <a16:creationId xmlns:a16="http://schemas.microsoft.com/office/drawing/2014/main" id="{C10DC15F-EDD6-0544-BCF8-A5492C99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0" name="Picture 1" descr="https://medya-cdn.tjk.org/imageftp/Img/e1.gif">
          <a:extLst>
            <a:ext uri="{FF2B5EF4-FFF2-40B4-BE49-F238E27FC236}">
              <a16:creationId xmlns:a16="http://schemas.microsoft.com/office/drawing/2014/main" id="{3757B5EA-6244-4043-BB9B-891DB7E60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1" name="Picture 1" descr="https://medya-cdn.tjk.org/imageftp/Img/e1.gif">
          <a:extLst>
            <a:ext uri="{FF2B5EF4-FFF2-40B4-BE49-F238E27FC236}">
              <a16:creationId xmlns:a16="http://schemas.microsoft.com/office/drawing/2014/main" id="{294D2A01-1B54-F445-B179-469A13EC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2" name="Picture 1" descr="https://medya-cdn.tjk.org/imageftp/Img/e1.gif">
          <a:extLst>
            <a:ext uri="{FF2B5EF4-FFF2-40B4-BE49-F238E27FC236}">
              <a16:creationId xmlns:a16="http://schemas.microsoft.com/office/drawing/2014/main" id="{0D7511AF-16BC-F64F-A26A-B0AC2C954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3" name="Picture 1" descr="https://medya-cdn.tjk.org/imageftp/Img/e1.gif">
          <a:extLst>
            <a:ext uri="{FF2B5EF4-FFF2-40B4-BE49-F238E27FC236}">
              <a16:creationId xmlns:a16="http://schemas.microsoft.com/office/drawing/2014/main" id="{83032811-4636-D842-BD91-CE044306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4" name="Picture 1" descr="https://medya-cdn.tjk.org/imageftp/Img/e1.gif">
          <a:extLst>
            <a:ext uri="{FF2B5EF4-FFF2-40B4-BE49-F238E27FC236}">
              <a16:creationId xmlns:a16="http://schemas.microsoft.com/office/drawing/2014/main" id="{899E76BE-22E3-1A48-B496-A3A7DFF3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5" name="Picture 1" descr="https://medya-cdn.tjk.org/imageftp/Img/e1.gif">
          <a:extLst>
            <a:ext uri="{FF2B5EF4-FFF2-40B4-BE49-F238E27FC236}">
              <a16:creationId xmlns:a16="http://schemas.microsoft.com/office/drawing/2014/main" id="{68C870C3-4B4A-934A-89C2-F9228DE3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6" name="Picture 1" descr="https://medya-cdn.tjk.org/imageftp/Img/e1.gif">
          <a:extLst>
            <a:ext uri="{FF2B5EF4-FFF2-40B4-BE49-F238E27FC236}">
              <a16:creationId xmlns:a16="http://schemas.microsoft.com/office/drawing/2014/main" id="{C65580B4-447D-B147-8882-9F5DF140D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47" name="Picture 1" descr="https://medya-cdn.tjk.org/imageftp/Img/e1.gif">
          <a:extLst>
            <a:ext uri="{FF2B5EF4-FFF2-40B4-BE49-F238E27FC236}">
              <a16:creationId xmlns:a16="http://schemas.microsoft.com/office/drawing/2014/main" id="{E05A091F-EE12-1747-A1D1-4D294399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48" name="Picture 1" descr="https://medya-cdn.tjk.org/imageftp/Img/e1.gif">
          <a:extLst>
            <a:ext uri="{FF2B5EF4-FFF2-40B4-BE49-F238E27FC236}">
              <a16:creationId xmlns:a16="http://schemas.microsoft.com/office/drawing/2014/main" id="{54DCB3E5-FEDC-7C4E-917F-8F5A8AE1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49" name="Picture 1" descr="https://medya-cdn.tjk.org/imageftp/Img/e1.gif">
          <a:extLst>
            <a:ext uri="{FF2B5EF4-FFF2-40B4-BE49-F238E27FC236}">
              <a16:creationId xmlns:a16="http://schemas.microsoft.com/office/drawing/2014/main" id="{A971E4BE-4190-444D-98C8-42F63369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0" name="Picture 1" descr="https://medya-cdn.tjk.org/imageftp/Img/e1.gif">
          <a:extLst>
            <a:ext uri="{FF2B5EF4-FFF2-40B4-BE49-F238E27FC236}">
              <a16:creationId xmlns:a16="http://schemas.microsoft.com/office/drawing/2014/main" id="{3E16307C-BD2A-3D44-B615-F26EADEF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1" name="Picture 1" descr="https://medya-cdn.tjk.org/imageftp/Img/e1.gif">
          <a:extLst>
            <a:ext uri="{FF2B5EF4-FFF2-40B4-BE49-F238E27FC236}">
              <a16:creationId xmlns:a16="http://schemas.microsoft.com/office/drawing/2014/main" id="{10992FA3-7CC2-0041-829B-2CCF95F34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2" name="Picture 1" descr="https://medya-cdn.tjk.org/imageftp/Img/e1.gif">
          <a:extLst>
            <a:ext uri="{FF2B5EF4-FFF2-40B4-BE49-F238E27FC236}">
              <a16:creationId xmlns:a16="http://schemas.microsoft.com/office/drawing/2014/main" id="{408D4D97-714F-0241-9CB8-BCAA5466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3" name="Picture 1" descr="https://medya-cdn.tjk.org/imageftp/Img/e1.gif">
          <a:extLst>
            <a:ext uri="{FF2B5EF4-FFF2-40B4-BE49-F238E27FC236}">
              <a16:creationId xmlns:a16="http://schemas.microsoft.com/office/drawing/2014/main" id="{70D8C2A1-6AC4-D244-B8F6-F0A9C028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4" name="Picture 1" descr="https://medya-cdn.tjk.org/imageftp/Img/e1.gif">
          <a:extLst>
            <a:ext uri="{FF2B5EF4-FFF2-40B4-BE49-F238E27FC236}">
              <a16:creationId xmlns:a16="http://schemas.microsoft.com/office/drawing/2014/main" id="{A4125290-6055-E144-BEFC-667F71219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55" name="Picture 1" descr="https://medya-cdn.tjk.org/imageftp/Img/e1.gif">
          <a:extLst>
            <a:ext uri="{FF2B5EF4-FFF2-40B4-BE49-F238E27FC236}">
              <a16:creationId xmlns:a16="http://schemas.microsoft.com/office/drawing/2014/main" id="{E92C9359-EF6D-3041-B9A5-021BEE52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56" name="Picture 1" descr="https://medya-cdn.tjk.org/imageftp/Img/e1.gif">
          <a:extLst>
            <a:ext uri="{FF2B5EF4-FFF2-40B4-BE49-F238E27FC236}">
              <a16:creationId xmlns:a16="http://schemas.microsoft.com/office/drawing/2014/main" id="{3F3E645E-0028-6041-8116-40D16298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57" name="Picture 1" descr="https://medya-cdn.tjk.org/imageftp/Img/e1.gif">
          <a:extLst>
            <a:ext uri="{FF2B5EF4-FFF2-40B4-BE49-F238E27FC236}">
              <a16:creationId xmlns:a16="http://schemas.microsoft.com/office/drawing/2014/main" id="{3E1C70A6-B438-AA4D-A2C7-30123219E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58" name="Picture 1" descr="https://medya-cdn.tjk.org/imageftp/Img/e1.gif">
          <a:extLst>
            <a:ext uri="{FF2B5EF4-FFF2-40B4-BE49-F238E27FC236}">
              <a16:creationId xmlns:a16="http://schemas.microsoft.com/office/drawing/2014/main" id="{E48354AA-4AA6-874A-8BE2-C11A54DC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59" name="Picture 1" descr="https://medya-cdn.tjk.org/imageftp/Img/e1.gif">
          <a:extLst>
            <a:ext uri="{FF2B5EF4-FFF2-40B4-BE49-F238E27FC236}">
              <a16:creationId xmlns:a16="http://schemas.microsoft.com/office/drawing/2014/main" id="{74038FC9-0C57-A442-B62B-F7E185174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0" name="Picture 1" descr="https://medya-cdn.tjk.org/imageftp/Img/e1.gif">
          <a:extLst>
            <a:ext uri="{FF2B5EF4-FFF2-40B4-BE49-F238E27FC236}">
              <a16:creationId xmlns:a16="http://schemas.microsoft.com/office/drawing/2014/main" id="{69647977-CDDF-1749-897D-A819F0D1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1" name="Picture 1" descr="https://medya-cdn.tjk.org/imageftp/Img/e1.gif">
          <a:extLst>
            <a:ext uri="{FF2B5EF4-FFF2-40B4-BE49-F238E27FC236}">
              <a16:creationId xmlns:a16="http://schemas.microsoft.com/office/drawing/2014/main" id="{DEB7EC5E-D721-DC4C-AE8A-8DE88310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2" name="Picture 1" descr="https://medya-cdn.tjk.org/imageftp/Img/e1.gif">
          <a:extLst>
            <a:ext uri="{FF2B5EF4-FFF2-40B4-BE49-F238E27FC236}">
              <a16:creationId xmlns:a16="http://schemas.microsoft.com/office/drawing/2014/main" id="{65213BD1-7E2A-EB40-8485-79FDDCDD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3" name="Picture 1" descr="https://medya-cdn.tjk.org/imageftp/Img/e1.gif">
          <a:extLst>
            <a:ext uri="{FF2B5EF4-FFF2-40B4-BE49-F238E27FC236}">
              <a16:creationId xmlns:a16="http://schemas.microsoft.com/office/drawing/2014/main" id="{460069C2-2A20-2347-B212-1D4AD42E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4" name="Picture 1" descr="https://medya-cdn.tjk.org/imageftp/Img/e1.gif">
          <a:extLst>
            <a:ext uri="{FF2B5EF4-FFF2-40B4-BE49-F238E27FC236}">
              <a16:creationId xmlns:a16="http://schemas.microsoft.com/office/drawing/2014/main" id="{65439434-FA97-A944-83ED-CA2D6D3A5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5" name="Picture 1" descr="https://medya-cdn.tjk.org/imageftp/Img/e1.gif">
          <a:extLst>
            <a:ext uri="{FF2B5EF4-FFF2-40B4-BE49-F238E27FC236}">
              <a16:creationId xmlns:a16="http://schemas.microsoft.com/office/drawing/2014/main" id="{C25F6323-D9C5-394B-992E-E1B84098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6" name="Picture 1" descr="https://medya-cdn.tjk.org/imageftp/Img/e1.gif">
          <a:extLst>
            <a:ext uri="{FF2B5EF4-FFF2-40B4-BE49-F238E27FC236}">
              <a16:creationId xmlns:a16="http://schemas.microsoft.com/office/drawing/2014/main" id="{64737B78-2AD9-5D44-9D26-53C832C6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7" name="Picture 1" descr="https://medya-cdn.tjk.org/imageftp/Img/e1.gif">
          <a:extLst>
            <a:ext uri="{FF2B5EF4-FFF2-40B4-BE49-F238E27FC236}">
              <a16:creationId xmlns:a16="http://schemas.microsoft.com/office/drawing/2014/main" id="{5856FB10-0DAF-414B-A02A-D69DCD4BF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8" name="Picture 1" descr="https://medya-cdn.tjk.org/imageftp/Img/e1.gif">
          <a:extLst>
            <a:ext uri="{FF2B5EF4-FFF2-40B4-BE49-F238E27FC236}">
              <a16:creationId xmlns:a16="http://schemas.microsoft.com/office/drawing/2014/main" id="{0DFDDE0E-0DB2-754A-9D5F-1659BA6C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69" name="Picture 1" descr="https://medya-cdn.tjk.org/imageftp/Img/e1.gif">
          <a:extLst>
            <a:ext uri="{FF2B5EF4-FFF2-40B4-BE49-F238E27FC236}">
              <a16:creationId xmlns:a16="http://schemas.microsoft.com/office/drawing/2014/main" id="{E65427BB-C300-D642-807F-5B183BD7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0" name="Picture 1" descr="https://medya-cdn.tjk.org/imageftp/Img/e1.gif">
          <a:extLst>
            <a:ext uri="{FF2B5EF4-FFF2-40B4-BE49-F238E27FC236}">
              <a16:creationId xmlns:a16="http://schemas.microsoft.com/office/drawing/2014/main" id="{84AF3AB4-F6DD-2644-923F-5532BF8D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1" name="Picture 1" descr="https://medya-cdn.tjk.org/imageftp/Img/e1.gif">
          <a:extLst>
            <a:ext uri="{FF2B5EF4-FFF2-40B4-BE49-F238E27FC236}">
              <a16:creationId xmlns:a16="http://schemas.microsoft.com/office/drawing/2014/main" id="{DF423703-8EAA-DE4B-AF8B-8774B217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2" name="Picture 1" descr="https://medya-cdn.tjk.org/imageftp/Img/e1.gif">
          <a:extLst>
            <a:ext uri="{FF2B5EF4-FFF2-40B4-BE49-F238E27FC236}">
              <a16:creationId xmlns:a16="http://schemas.microsoft.com/office/drawing/2014/main" id="{E5DE012E-FE23-F847-87E0-E2151B5F6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3" name="Picture 1" descr="https://medya-cdn.tjk.org/imageftp/Img/e1.gif">
          <a:extLst>
            <a:ext uri="{FF2B5EF4-FFF2-40B4-BE49-F238E27FC236}">
              <a16:creationId xmlns:a16="http://schemas.microsoft.com/office/drawing/2014/main" id="{087902C9-BCA0-5C47-92EA-EE08649C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4" name="Picture 1" descr="https://medya-cdn.tjk.org/imageftp/Img/e1.gif">
          <a:extLst>
            <a:ext uri="{FF2B5EF4-FFF2-40B4-BE49-F238E27FC236}">
              <a16:creationId xmlns:a16="http://schemas.microsoft.com/office/drawing/2014/main" id="{DEAD36AD-3F84-8249-8BE8-2FD2976F9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8</xdr:row>
      <xdr:rowOff>15452</xdr:rowOff>
    </xdr:to>
    <xdr:pic>
      <xdr:nvPicPr>
        <xdr:cNvPr id="375" name="Picture 1" descr="https://medya-cdn.tjk.org/imageftp/Img/e1.gif">
          <a:extLst>
            <a:ext uri="{FF2B5EF4-FFF2-40B4-BE49-F238E27FC236}">
              <a16:creationId xmlns:a16="http://schemas.microsoft.com/office/drawing/2014/main" id="{BB46B09C-35B2-1F47-9B1B-2E4DC8D5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03145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76" name="Picture 1" descr="https://medya-cdn.tjk.org/imageftp/Img/e1.gif">
          <a:extLst>
            <a:ext uri="{FF2B5EF4-FFF2-40B4-BE49-F238E27FC236}">
              <a16:creationId xmlns:a16="http://schemas.microsoft.com/office/drawing/2014/main" id="{36E4319A-D7E3-8947-A671-522E484AC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77" name="Picture 1" descr="https://medya-cdn.tjk.org/imageftp/Img/e1.gif">
          <a:extLst>
            <a:ext uri="{FF2B5EF4-FFF2-40B4-BE49-F238E27FC236}">
              <a16:creationId xmlns:a16="http://schemas.microsoft.com/office/drawing/2014/main" id="{3E87F207-5D0A-264F-991D-6332D659F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78" name="Picture 1" descr="https://medya-cdn.tjk.org/imageftp/Img/e1.gif">
          <a:extLst>
            <a:ext uri="{FF2B5EF4-FFF2-40B4-BE49-F238E27FC236}">
              <a16:creationId xmlns:a16="http://schemas.microsoft.com/office/drawing/2014/main" id="{C18F15FD-604A-F940-A066-097087DD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79" name="Picture 1" descr="https://medya-cdn.tjk.org/imageftp/Img/e1.gif">
          <a:extLst>
            <a:ext uri="{FF2B5EF4-FFF2-40B4-BE49-F238E27FC236}">
              <a16:creationId xmlns:a16="http://schemas.microsoft.com/office/drawing/2014/main" id="{132A0048-E36F-8E47-B7F5-D7946253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80" name="Picture 1" descr="https://medya-cdn.tjk.org/imageftp/Img/e1.gif">
          <a:extLst>
            <a:ext uri="{FF2B5EF4-FFF2-40B4-BE49-F238E27FC236}">
              <a16:creationId xmlns:a16="http://schemas.microsoft.com/office/drawing/2014/main" id="{4575E278-12BE-DD48-B9C1-355D81E3C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81" name="Picture 1" descr="https://medya-cdn.tjk.org/imageftp/Img/e1.gif">
          <a:extLst>
            <a:ext uri="{FF2B5EF4-FFF2-40B4-BE49-F238E27FC236}">
              <a16:creationId xmlns:a16="http://schemas.microsoft.com/office/drawing/2014/main" id="{9F3A8C5F-24C5-474A-8D21-5FE2B3048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82" name="Picture 1" descr="https://medya-cdn.tjk.org/imageftp/Img/e1.gif">
          <a:extLst>
            <a:ext uri="{FF2B5EF4-FFF2-40B4-BE49-F238E27FC236}">
              <a16:creationId xmlns:a16="http://schemas.microsoft.com/office/drawing/2014/main" id="{BCA0BE5F-5EC1-374D-A0C1-446B64C9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10</xdr:row>
      <xdr:rowOff>119592</xdr:rowOff>
    </xdr:to>
    <xdr:pic>
      <xdr:nvPicPr>
        <xdr:cNvPr id="383" name="Picture 1" descr="https://medya-cdn.tjk.org/imageftp/Img/e1.gif">
          <a:extLst>
            <a:ext uri="{FF2B5EF4-FFF2-40B4-BE49-F238E27FC236}">
              <a16:creationId xmlns:a16="http://schemas.microsoft.com/office/drawing/2014/main" id="{54867548-1599-D24D-A224-B66B066F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54199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4" name="Picture 1" descr="https://medya-cdn.tjk.org/imageftp/Img/e1.gif">
          <a:extLst>
            <a:ext uri="{FF2B5EF4-FFF2-40B4-BE49-F238E27FC236}">
              <a16:creationId xmlns:a16="http://schemas.microsoft.com/office/drawing/2014/main" id="{5A86E647-4D09-884A-B25F-93B6EF9F7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5" name="Picture 1" descr="https://medya-cdn.tjk.org/imageftp/Img/e1.gif">
          <a:extLst>
            <a:ext uri="{FF2B5EF4-FFF2-40B4-BE49-F238E27FC236}">
              <a16:creationId xmlns:a16="http://schemas.microsoft.com/office/drawing/2014/main" id="{0885114E-143F-AB4E-9CDE-59CF6D8E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6" name="Picture 1" descr="https://medya-cdn.tjk.org/imageftp/Img/e1.gif">
          <a:extLst>
            <a:ext uri="{FF2B5EF4-FFF2-40B4-BE49-F238E27FC236}">
              <a16:creationId xmlns:a16="http://schemas.microsoft.com/office/drawing/2014/main" id="{6E4F7890-455A-D941-A65C-1A501168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7" name="Picture 1" descr="https://medya-cdn.tjk.org/imageftp/Img/e1.gif">
          <a:extLst>
            <a:ext uri="{FF2B5EF4-FFF2-40B4-BE49-F238E27FC236}">
              <a16:creationId xmlns:a16="http://schemas.microsoft.com/office/drawing/2014/main" id="{BCBFCE6F-B80F-F841-BB25-59CD0D60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8" name="Picture 1" descr="https://medya-cdn.tjk.org/imageftp/Img/e1.gif">
          <a:extLst>
            <a:ext uri="{FF2B5EF4-FFF2-40B4-BE49-F238E27FC236}">
              <a16:creationId xmlns:a16="http://schemas.microsoft.com/office/drawing/2014/main" id="{738A3B8C-5A42-1A4A-8F80-CD7074F6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89" name="Picture 1" descr="https://medya-cdn.tjk.org/imageftp/Img/e1.gif">
          <a:extLst>
            <a:ext uri="{FF2B5EF4-FFF2-40B4-BE49-F238E27FC236}">
              <a16:creationId xmlns:a16="http://schemas.microsoft.com/office/drawing/2014/main" id="{D7FD48C1-978E-4D4F-B048-18033921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90" name="Picture 1" descr="https://medya-cdn.tjk.org/imageftp/Img/e1.gif">
          <a:extLst>
            <a:ext uri="{FF2B5EF4-FFF2-40B4-BE49-F238E27FC236}">
              <a16:creationId xmlns:a16="http://schemas.microsoft.com/office/drawing/2014/main" id="{F20D8F9E-4BFB-9744-9B0E-7D0029D9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0</xdr:colOff>
      <xdr:row>9</xdr:row>
      <xdr:rowOff>178012</xdr:rowOff>
    </xdr:to>
    <xdr:pic>
      <xdr:nvPicPr>
        <xdr:cNvPr id="391" name="Picture 1" descr="https://medya-cdn.tjk.org/imageftp/Img/e1.gif">
          <a:extLst>
            <a:ext uri="{FF2B5EF4-FFF2-40B4-BE49-F238E27FC236}">
              <a16:creationId xmlns:a16="http://schemas.microsoft.com/office/drawing/2014/main" id="{6F80D16E-779D-1B4B-829B-14492B0C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30700" y="774700"/>
          <a:ext cx="0" cy="139721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90153</xdr:rowOff>
    </xdr:to>
    <xdr:sp macro="" textlink="">
      <xdr:nvSpPr>
        <xdr:cNvPr id="392" name="AutoShape 3" descr="https://medya-cdn.tjk.org/imageftp/Img/e1.gif">
          <a:extLst>
            <a:ext uri="{FF2B5EF4-FFF2-40B4-BE49-F238E27FC236}">
              <a16:creationId xmlns:a16="http://schemas.microsoft.com/office/drawing/2014/main" id="{1B824AE5-25CC-B648-9FD9-87F8E50F27C4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4256700"/>
          <a:ext cx="304800" cy="8860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87</xdr:row>
      <xdr:rowOff>155066</xdr:rowOff>
    </xdr:to>
    <xdr:sp macro="" textlink="">
      <xdr:nvSpPr>
        <xdr:cNvPr id="393" name="AutoShape 3" descr="https://medya-cdn.tjk.org/imageftp/Img/e1.gif">
          <a:extLst>
            <a:ext uri="{FF2B5EF4-FFF2-40B4-BE49-F238E27FC236}">
              <a16:creationId xmlns:a16="http://schemas.microsoft.com/office/drawing/2014/main" id="{A278BF50-5176-C840-91C9-D22BAD1DE2B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6441100"/>
          <a:ext cx="304800" cy="191613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132484</xdr:rowOff>
    </xdr:to>
    <xdr:sp macro="" textlink="">
      <xdr:nvSpPr>
        <xdr:cNvPr id="394" name="AutoShape 3" descr="https://medya-cdn.tjk.org/imageftp/Img/e1.gif">
          <a:extLst>
            <a:ext uri="{FF2B5EF4-FFF2-40B4-BE49-F238E27FC236}">
              <a16:creationId xmlns:a16="http://schemas.microsoft.com/office/drawing/2014/main" id="{FEA113EA-C6EA-AD45-84EE-7CE0BD964803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6961800"/>
          <a:ext cx="304800" cy="928352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395" name="Picture 14" descr="https://medya-cdn.tjk.org/imageftp/Img/e1.gif">
          <a:extLst>
            <a:ext uri="{FF2B5EF4-FFF2-40B4-BE49-F238E27FC236}">
              <a16:creationId xmlns:a16="http://schemas.microsoft.com/office/drawing/2014/main" id="{63EDFF65-449E-4542-9FDD-D8DED215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77215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198120</xdr:colOff>
      <xdr:row>77</xdr:row>
      <xdr:rowOff>144780</xdr:rowOff>
    </xdr:to>
    <xdr:pic>
      <xdr:nvPicPr>
        <xdr:cNvPr id="396" name="Picture 15" descr="https://medya-cdn.tjk.org/imageftp/Img/e1.gif">
          <a:extLst>
            <a:ext uri="{FF2B5EF4-FFF2-40B4-BE49-F238E27FC236}">
              <a16:creationId xmlns:a16="http://schemas.microsoft.com/office/drawing/2014/main" id="{942A1487-C688-8342-97BD-66DAF8051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8000" y="1776984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132487</xdr:rowOff>
    </xdr:to>
    <xdr:sp macro="" textlink="">
      <xdr:nvSpPr>
        <xdr:cNvPr id="397" name="AutoShape 3" descr="https://medya-cdn.tjk.org/imageftp/Img/e1.gif">
          <a:extLst>
            <a:ext uri="{FF2B5EF4-FFF2-40B4-BE49-F238E27FC236}">
              <a16:creationId xmlns:a16="http://schemas.microsoft.com/office/drawing/2014/main" id="{3FBB8411-AC3B-B34E-8CB4-E2066B87F273}"/>
            </a:ext>
          </a:extLst>
        </xdr:cNvPr>
        <xdr:cNvSpPr>
          <a:spLocks noChangeAspect="1" noChangeArrowheads="1"/>
        </xdr:cNvSpPr>
      </xdr:nvSpPr>
      <xdr:spPr bwMode="auto">
        <a:xfrm>
          <a:off x="508000" y="179425600"/>
          <a:ext cx="304800" cy="92835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132487</xdr:rowOff>
    </xdr:to>
    <xdr:sp macro="" textlink="">
      <xdr:nvSpPr>
        <xdr:cNvPr id="398" name="AutoShape 3" descr="https://medya-cdn.tjk.org/imageftp/Img/e1.gif">
          <a:extLst>
            <a:ext uri="{FF2B5EF4-FFF2-40B4-BE49-F238E27FC236}">
              <a16:creationId xmlns:a16="http://schemas.microsoft.com/office/drawing/2014/main" id="{F6BA6E8B-9B21-6E45-842D-DA67EE407A0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82613300"/>
          <a:ext cx="304800" cy="928353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81</xdr:row>
      <xdr:rowOff>132488</xdr:rowOff>
    </xdr:to>
    <xdr:sp macro="" textlink="">
      <xdr:nvSpPr>
        <xdr:cNvPr id="399" name="AutoShape 3" descr="https://medya-cdn.tjk.org/imageftp/Img/e1.gif">
          <a:extLst>
            <a:ext uri="{FF2B5EF4-FFF2-40B4-BE49-F238E27FC236}">
              <a16:creationId xmlns:a16="http://schemas.microsoft.com/office/drawing/2014/main" id="{E73C1792-4F82-4D4D-A0E3-1747F5A4F43D}"/>
            </a:ext>
          </a:extLst>
        </xdr:cNvPr>
        <xdr:cNvSpPr>
          <a:spLocks noChangeAspect="1" noChangeArrowheads="1"/>
        </xdr:cNvSpPr>
      </xdr:nvSpPr>
      <xdr:spPr bwMode="auto">
        <a:xfrm>
          <a:off x="508000" y="185318400"/>
          <a:ext cx="304800" cy="928354"/>
        </a:xfrm>
        <a:prstGeom prst="rect">
          <a:avLst/>
        </a:prstGeom>
        <a:noFill/>
      </xdr:spPr>
    </xdr:sp>
    <xdr:clientData/>
  </xdr:two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0" name="Picture 6" descr="https://medya-cdn.tjk.org/imageftp/Img/e1.gif">
          <a:extLst>
            <a:ext uri="{FF2B5EF4-FFF2-40B4-BE49-F238E27FC236}">
              <a16:creationId xmlns:a16="http://schemas.microsoft.com/office/drawing/2014/main" id="{29E34218-3734-9F41-9FDC-068A79B2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3929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1" name="Picture 7" descr="https://medya-cdn.tjk.org/imageftp/Img/e1.gif">
          <a:extLst>
            <a:ext uri="{FF2B5EF4-FFF2-40B4-BE49-F238E27FC236}">
              <a16:creationId xmlns:a16="http://schemas.microsoft.com/office/drawing/2014/main" id="{463738BF-36E6-0D42-8F4D-E909294CF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875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2" name="Picture 4" descr="https://medya-cdn.tjk.org/imageftp/Img/e1.gif">
          <a:extLst>
            <a:ext uri="{FF2B5EF4-FFF2-40B4-BE49-F238E27FC236}">
              <a16:creationId xmlns:a16="http://schemas.microsoft.com/office/drawing/2014/main" id="{5937E59F-C9A9-614A-8F70-1DF097DC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4447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3" name="Picture 9" descr="https://medya-cdn.tjk.org/imageftp/Img/e1.gif">
          <a:extLst>
            <a:ext uri="{FF2B5EF4-FFF2-40B4-BE49-F238E27FC236}">
              <a16:creationId xmlns:a16="http://schemas.microsoft.com/office/drawing/2014/main" id="{00A1766B-61FD-C944-98D9-F1569FCA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7101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404" name="Picture 12" descr="https://medya-cdn.tjk.org/imageftp/Img/e1.gif">
          <a:extLst>
            <a:ext uri="{FF2B5EF4-FFF2-40B4-BE49-F238E27FC236}">
              <a16:creationId xmlns:a16="http://schemas.microsoft.com/office/drawing/2014/main" id="{F55FEB0D-6417-DE42-A89C-CB95E030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405" name="Picture 12" descr="https://medya-cdn.tjk.org/imageftp/Img/e1.gif">
          <a:extLst>
            <a:ext uri="{FF2B5EF4-FFF2-40B4-BE49-F238E27FC236}">
              <a16:creationId xmlns:a16="http://schemas.microsoft.com/office/drawing/2014/main" id="{FA888C34-23CC-614D-8C06-69D217F6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406" name="Picture 12" descr="https://medya-cdn.tjk.org/imageftp/Img/e1.gif">
          <a:extLst>
            <a:ext uri="{FF2B5EF4-FFF2-40B4-BE49-F238E27FC236}">
              <a16:creationId xmlns:a16="http://schemas.microsoft.com/office/drawing/2014/main" id="{E36F7BAB-3537-6D42-BE34-87D385F3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407" name="Picture 12" descr="https://medya-cdn.tjk.org/imageftp/Img/e1.gif">
          <a:extLst>
            <a:ext uri="{FF2B5EF4-FFF2-40B4-BE49-F238E27FC236}">
              <a16:creationId xmlns:a16="http://schemas.microsoft.com/office/drawing/2014/main" id="{003F6734-A3C8-344E-BD85-9A487CA2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8" name="Picture 6" descr="https://medya-cdn.tjk.org/imageftp/Img/e1.gif">
          <a:extLst>
            <a:ext uri="{FF2B5EF4-FFF2-40B4-BE49-F238E27FC236}">
              <a16:creationId xmlns:a16="http://schemas.microsoft.com/office/drawing/2014/main" id="{52DC8A15-7E18-C640-B607-3AF65235E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3929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09" name="Picture 7" descr="https://medya-cdn.tjk.org/imageftp/Img/e1.gif">
          <a:extLst>
            <a:ext uri="{FF2B5EF4-FFF2-40B4-BE49-F238E27FC236}">
              <a16:creationId xmlns:a16="http://schemas.microsoft.com/office/drawing/2014/main" id="{80F55804-9FD1-BE4E-B7C8-0E1744E35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875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10" name="Picture 4" descr="https://medya-cdn.tjk.org/imageftp/Img/e1.gif">
          <a:extLst>
            <a:ext uri="{FF2B5EF4-FFF2-40B4-BE49-F238E27FC236}">
              <a16:creationId xmlns:a16="http://schemas.microsoft.com/office/drawing/2014/main" id="{74CC0EC2-876A-4E46-9C1C-808D8520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4447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11" name="Picture 9" descr="https://medya-cdn.tjk.org/imageftp/Img/e1.gif">
          <a:extLst>
            <a:ext uri="{FF2B5EF4-FFF2-40B4-BE49-F238E27FC236}">
              <a16:creationId xmlns:a16="http://schemas.microsoft.com/office/drawing/2014/main" id="{DD9B5C93-CE8E-EC43-BE07-E12F816CA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7101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704195"/>
    <xdr:pic>
      <xdr:nvPicPr>
        <xdr:cNvPr id="412" name="Picture 48" descr="https://medya-cdn.tjk.org/imageftp/Img/e1.gif">
          <a:extLst>
            <a:ext uri="{FF2B5EF4-FFF2-40B4-BE49-F238E27FC236}">
              <a16:creationId xmlns:a16="http://schemas.microsoft.com/office/drawing/2014/main" id="{B6CB9CE5-8531-2347-BB41-AF45B559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858440" y="42230040"/>
          <a:ext cx="0" cy="70419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413" name="Picture 61" descr="https://medya-cdn.tjk.org/imageftp/Img/e2.gif">
          <a:extLst>
            <a:ext uri="{FF2B5EF4-FFF2-40B4-BE49-F238E27FC236}">
              <a16:creationId xmlns:a16="http://schemas.microsoft.com/office/drawing/2014/main" id="{DDA5817F-ECE7-2B4A-B080-795F50FA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904160" y="4522216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414" name="Picture 64" descr="https://medya-cdn.tjk.org/imageftp/Img/e1.gif">
          <a:extLst>
            <a:ext uri="{FF2B5EF4-FFF2-40B4-BE49-F238E27FC236}">
              <a16:creationId xmlns:a16="http://schemas.microsoft.com/office/drawing/2014/main" id="{72FF6698-E241-0B47-9434-91DDE71CF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965120" y="4568952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415" name="Picture 68" descr="https://medya-cdn.tjk.org/imageftp/Img/e2.gif">
          <a:extLst>
            <a:ext uri="{FF2B5EF4-FFF2-40B4-BE49-F238E27FC236}">
              <a16:creationId xmlns:a16="http://schemas.microsoft.com/office/drawing/2014/main" id="{035CBEC3-83D5-B74B-A3A1-4AE49D9B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1041320" y="4642866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200025" cy="141991"/>
    <xdr:pic>
      <xdr:nvPicPr>
        <xdr:cNvPr id="416" name="Picture 1" descr="https://medya-cdn.tjk.org/imageftp/Img/e1.gif">
          <a:extLst>
            <a:ext uri="{FF2B5EF4-FFF2-40B4-BE49-F238E27FC236}">
              <a16:creationId xmlns:a16="http://schemas.microsoft.com/office/drawing/2014/main" id="{80DD1BBF-1285-0940-BF54-88CFB336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79197200"/>
          <a:ext cx="200025" cy="141991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200025" cy="142875"/>
    <xdr:pic>
      <xdr:nvPicPr>
        <xdr:cNvPr id="417" name="Picture 12" descr="https://medya-cdn.tjk.org/imageftp/Img/e1.gif">
          <a:extLst>
            <a:ext uri="{FF2B5EF4-FFF2-40B4-BE49-F238E27FC236}">
              <a16:creationId xmlns:a16="http://schemas.microsoft.com/office/drawing/2014/main" id="{87312C00-809E-2543-82CE-E73BB05B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81822925"/>
          <a:ext cx="200025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759883"/>
    <xdr:sp macro="" textlink="">
      <xdr:nvSpPr>
        <xdr:cNvPr id="420" name="AutoShape 3" descr="https://medya-cdn.tjk.org/imageftp/Img/e1.gif">
          <a:extLst>
            <a:ext uri="{FF2B5EF4-FFF2-40B4-BE49-F238E27FC236}">
              <a16:creationId xmlns:a16="http://schemas.microsoft.com/office/drawing/2014/main" id="{F3AF6DC0-5B34-324A-9B51-F789CF359080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18046500"/>
          <a:ext cx="304800" cy="75988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1" name="Picture 1" descr="https://medya-cdn.tjk.org/imageftp/Img/e1.gif">
          <a:extLst>
            <a:ext uri="{FF2B5EF4-FFF2-40B4-BE49-F238E27FC236}">
              <a16:creationId xmlns:a16="http://schemas.microsoft.com/office/drawing/2014/main" id="{08C9E445-CFA3-C144-8BFD-66FBFBFBC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2" name="Picture 1" descr="https://medya-cdn.tjk.org/imageftp/Img/e1.gif">
          <a:extLst>
            <a:ext uri="{FF2B5EF4-FFF2-40B4-BE49-F238E27FC236}">
              <a16:creationId xmlns:a16="http://schemas.microsoft.com/office/drawing/2014/main" id="{B4D97216-F1E8-DE40-A09F-0F7443AD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3" name="Picture 1" descr="https://medya-cdn.tjk.org/imageftp/Img/e1.gif">
          <a:extLst>
            <a:ext uri="{FF2B5EF4-FFF2-40B4-BE49-F238E27FC236}">
              <a16:creationId xmlns:a16="http://schemas.microsoft.com/office/drawing/2014/main" id="{8C587F76-D66C-EE4B-BA81-D39B166C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4" name="Picture 1" descr="https://medya-cdn.tjk.org/imageftp/Img/e1.gif">
          <a:extLst>
            <a:ext uri="{FF2B5EF4-FFF2-40B4-BE49-F238E27FC236}">
              <a16:creationId xmlns:a16="http://schemas.microsoft.com/office/drawing/2014/main" id="{FE462A71-AB5E-B54A-A771-36D642FB8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5" name="Picture 1" descr="https://medya-cdn.tjk.org/imageftp/Img/e1.gif">
          <a:extLst>
            <a:ext uri="{FF2B5EF4-FFF2-40B4-BE49-F238E27FC236}">
              <a16:creationId xmlns:a16="http://schemas.microsoft.com/office/drawing/2014/main" id="{1DB7F649-3A45-9B4F-9A43-AFD84CAC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6" name="Picture 1" descr="https://medya-cdn.tjk.org/imageftp/Img/e1.gif">
          <a:extLst>
            <a:ext uri="{FF2B5EF4-FFF2-40B4-BE49-F238E27FC236}">
              <a16:creationId xmlns:a16="http://schemas.microsoft.com/office/drawing/2014/main" id="{A157891D-E922-3546-ADA3-7F182485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7" name="Picture 1" descr="https://medya-cdn.tjk.org/imageftp/Img/e1.gif">
          <a:extLst>
            <a:ext uri="{FF2B5EF4-FFF2-40B4-BE49-F238E27FC236}">
              <a16:creationId xmlns:a16="http://schemas.microsoft.com/office/drawing/2014/main" id="{1D54B902-E058-AE49-8744-537D4525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8" name="Picture 1" descr="https://medya-cdn.tjk.org/imageftp/Img/e1.gif">
          <a:extLst>
            <a:ext uri="{FF2B5EF4-FFF2-40B4-BE49-F238E27FC236}">
              <a16:creationId xmlns:a16="http://schemas.microsoft.com/office/drawing/2014/main" id="{8C9B3CE5-F975-D14A-B505-0093DA660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29" name="Picture 1" descr="https://medya-cdn.tjk.org/imageftp/Img/e1.gif">
          <a:extLst>
            <a:ext uri="{FF2B5EF4-FFF2-40B4-BE49-F238E27FC236}">
              <a16:creationId xmlns:a16="http://schemas.microsoft.com/office/drawing/2014/main" id="{7691ED3D-7068-C940-A9E5-3A38C5FD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0" name="Picture 1" descr="https://medya-cdn.tjk.org/imageftp/Img/e1.gif">
          <a:extLst>
            <a:ext uri="{FF2B5EF4-FFF2-40B4-BE49-F238E27FC236}">
              <a16:creationId xmlns:a16="http://schemas.microsoft.com/office/drawing/2014/main" id="{D56023D4-589F-4B46-B0C9-17D7E086C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1" name="Picture 1" descr="https://medya-cdn.tjk.org/imageftp/Img/e1.gif">
          <a:extLst>
            <a:ext uri="{FF2B5EF4-FFF2-40B4-BE49-F238E27FC236}">
              <a16:creationId xmlns:a16="http://schemas.microsoft.com/office/drawing/2014/main" id="{700BC085-7478-F343-A726-0B4517A3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2" name="Picture 1" descr="https://medya-cdn.tjk.org/imageftp/Img/e1.gif">
          <a:extLst>
            <a:ext uri="{FF2B5EF4-FFF2-40B4-BE49-F238E27FC236}">
              <a16:creationId xmlns:a16="http://schemas.microsoft.com/office/drawing/2014/main" id="{11BDBC47-36CC-B543-BC4D-9BE1BE56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3" name="Picture 1" descr="https://medya-cdn.tjk.org/imageftp/Img/e1.gif">
          <a:extLst>
            <a:ext uri="{FF2B5EF4-FFF2-40B4-BE49-F238E27FC236}">
              <a16:creationId xmlns:a16="http://schemas.microsoft.com/office/drawing/2014/main" id="{AAA12FE4-D25B-C14E-B703-6CA3A7E1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4" name="Picture 1" descr="https://medya-cdn.tjk.org/imageftp/Img/e1.gif">
          <a:extLst>
            <a:ext uri="{FF2B5EF4-FFF2-40B4-BE49-F238E27FC236}">
              <a16:creationId xmlns:a16="http://schemas.microsoft.com/office/drawing/2014/main" id="{39138116-2DE7-8842-8FAD-085C7FA9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5" name="Picture 1" descr="https://medya-cdn.tjk.org/imageftp/Img/e1.gif">
          <a:extLst>
            <a:ext uri="{FF2B5EF4-FFF2-40B4-BE49-F238E27FC236}">
              <a16:creationId xmlns:a16="http://schemas.microsoft.com/office/drawing/2014/main" id="{9275A8A6-F920-7A44-B573-A6231F519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436" name="Picture 1" descr="https://medya-cdn.tjk.org/imageftp/Img/e1.gif">
          <a:extLst>
            <a:ext uri="{FF2B5EF4-FFF2-40B4-BE49-F238E27FC236}">
              <a16:creationId xmlns:a16="http://schemas.microsoft.com/office/drawing/2014/main" id="{C07684C0-E25B-E04E-B6DC-6D0E423B6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1" name="Picture 1" descr="https://medya-cdn.tjk.org/imageftp/Img/e1.gif">
          <a:extLst>
            <a:ext uri="{FF2B5EF4-FFF2-40B4-BE49-F238E27FC236}">
              <a16:creationId xmlns:a16="http://schemas.microsoft.com/office/drawing/2014/main" id="{8C659C1E-6E80-B549-8AE1-B634600A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2" name="Picture 1" descr="https://medya-cdn.tjk.org/imageftp/Img/e1.gif">
          <a:extLst>
            <a:ext uri="{FF2B5EF4-FFF2-40B4-BE49-F238E27FC236}">
              <a16:creationId xmlns:a16="http://schemas.microsoft.com/office/drawing/2014/main" id="{9CB0902D-91A1-4449-969E-5D436C36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3" name="Picture 1" descr="https://medya-cdn.tjk.org/imageftp/Img/e1.gif">
          <a:extLst>
            <a:ext uri="{FF2B5EF4-FFF2-40B4-BE49-F238E27FC236}">
              <a16:creationId xmlns:a16="http://schemas.microsoft.com/office/drawing/2014/main" id="{C9B0C0C7-33C2-4C4A-9A3B-A7B5C1E8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4" name="Picture 1" descr="https://medya-cdn.tjk.org/imageftp/Img/e1.gif">
          <a:extLst>
            <a:ext uri="{FF2B5EF4-FFF2-40B4-BE49-F238E27FC236}">
              <a16:creationId xmlns:a16="http://schemas.microsoft.com/office/drawing/2014/main" id="{5C27682C-3BD8-D94E-9AC0-55BFD406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5" name="Picture 1" descr="https://medya-cdn.tjk.org/imageftp/Img/e1.gif">
          <a:extLst>
            <a:ext uri="{FF2B5EF4-FFF2-40B4-BE49-F238E27FC236}">
              <a16:creationId xmlns:a16="http://schemas.microsoft.com/office/drawing/2014/main" id="{F543065F-6C1A-A348-BE91-9EEB5206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6" name="Picture 1" descr="https://medya-cdn.tjk.org/imageftp/Img/e1.gif">
          <a:extLst>
            <a:ext uri="{FF2B5EF4-FFF2-40B4-BE49-F238E27FC236}">
              <a16:creationId xmlns:a16="http://schemas.microsoft.com/office/drawing/2014/main" id="{52E2A066-B5DB-4F41-B612-9675B01CD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7" name="Picture 1" descr="https://medya-cdn.tjk.org/imageftp/Img/e1.gif">
          <a:extLst>
            <a:ext uri="{FF2B5EF4-FFF2-40B4-BE49-F238E27FC236}">
              <a16:creationId xmlns:a16="http://schemas.microsoft.com/office/drawing/2014/main" id="{071CFE27-51D3-A346-97F5-30890188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8" name="Picture 1" descr="https://medya-cdn.tjk.org/imageftp/Img/e1.gif">
          <a:extLst>
            <a:ext uri="{FF2B5EF4-FFF2-40B4-BE49-F238E27FC236}">
              <a16:creationId xmlns:a16="http://schemas.microsoft.com/office/drawing/2014/main" id="{B46B023A-611E-3F41-A687-99E77388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49" name="Picture 1" descr="https://medya-cdn.tjk.org/imageftp/Img/e1.gif">
          <a:extLst>
            <a:ext uri="{FF2B5EF4-FFF2-40B4-BE49-F238E27FC236}">
              <a16:creationId xmlns:a16="http://schemas.microsoft.com/office/drawing/2014/main" id="{DCC936B4-7E5D-B748-9464-EF20D265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0" name="Picture 1" descr="https://medya-cdn.tjk.org/imageftp/Img/e1.gif">
          <a:extLst>
            <a:ext uri="{FF2B5EF4-FFF2-40B4-BE49-F238E27FC236}">
              <a16:creationId xmlns:a16="http://schemas.microsoft.com/office/drawing/2014/main" id="{B2F254CD-AAE7-EB40-8EA1-866E5D717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1" name="Picture 1" descr="https://medya-cdn.tjk.org/imageftp/Img/e1.gif">
          <a:extLst>
            <a:ext uri="{FF2B5EF4-FFF2-40B4-BE49-F238E27FC236}">
              <a16:creationId xmlns:a16="http://schemas.microsoft.com/office/drawing/2014/main" id="{43927D34-0020-6441-93CF-25219E2A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2" name="Picture 1" descr="https://medya-cdn.tjk.org/imageftp/Img/e1.gif">
          <a:extLst>
            <a:ext uri="{FF2B5EF4-FFF2-40B4-BE49-F238E27FC236}">
              <a16:creationId xmlns:a16="http://schemas.microsoft.com/office/drawing/2014/main" id="{A2A81100-3DE1-EB49-9645-E47F5540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3" name="Picture 1" descr="https://medya-cdn.tjk.org/imageftp/Img/e1.gif">
          <a:extLst>
            <a:ext uri="{FF2B5EF4-FFF2-40B4-BE49-F238E27FC236}">
              <a16:creationId xmlns:a16="http://schemas.microsoft.com/office/drawing/2014/main" id="{7D15054F-DB57-B64C-8DE2-6C375AFB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4" name="Picture 1" descr="https://medya-cdn.tjk.org/imageftp/Img/e1.gif">
          <a:extLst>
            <a:ext uri="{FF2B5EF4-FFF2-40B4-BE49-F238E27FC236}">
              <a16:creationId xmlns:a16="http://schemas.microsoft.com/office/drawing/2014/main" id="{C0CEF21D-1963-7240-A66C-DF7A3DD7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5" name="Picture 1" descr="https://medya-cdn.tjk.org/imageftp/Img/e1.gif">
          <a:extLst>
            <a:ext uri="{FF2B5EF4-FFF2-40B4-BE49-F238E27FC236}">
              <a16:creationId xmlns:a16="http://schemas.microsoft.com/office/drawing/2014/main" id="{E7580AFC-F6E2-5040-AEE2-6C8198DD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456" name="Picture 1" descr="https://medya-cdn.tjk.org/imageftp/Img/e1.gif">
          <a:extLst>
            <a:ext uri="{FF2B5EF4-FFF2-40B4-BE49-F238E27FC236}">
              <a16:creationId xmlns:a16="http://schemas.microsoft.com/office/drawing/2014/main" id="{44812568-AB4C-BA49-9638-7FE2E766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57" name="Picture 1" descr="https://medya-cdn.tjk.org/imageftp/Img/e1.gif">
          <a:extLst>
            <a:ext uri="{FF2B5EF4-FFF2-40B4-BE49-F238E27FC236}">
              <a16:creationId xmlns:a16="http://schemas.microsoft.com/office/drawing/2014/main" id="{C2B64DD2-7349-E04B-B9BD-6610DA11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58" name="Picture 1" descr="https://medya-cdn.tjk.org/imageftp/Img/e1.gif">
          <a:extLst>
            <a:ext uri="{FF2B5EF4-FFF2-40B4-BE49-F238E27FC236}">
              <a16:creationId xmlns:a16="http://schemas.microsoft.com/office/drawing/2014/main" id="{5D50B4B6-5450-1348-B149-7731CA0B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59" name="Picture 1" descr="https://medya-cdn.tjk.org/imageftp/Img/e1.gif">
          <a:extLst>
            <a:ext uri="{FF2B5EF4-FFF2-40B4-BE49-F238E27FC236}">
              <a16:creationId xmlns:a16="http://schemas.microsoft.com/office/drawing/2014/main" id="{7E609791-C830-004C-B7A3-E8613D52F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0" name="Picture 1" descr="https://medya-cdn.tjk.org/imageftp/Img/e1.gif">
          <a:extLst>
            <a:ext uri="{FF2B5EF4-FFF2-40B4-BE49-F238E27FC236}">
              <a16:creationId xmlns:a16="http://schemas.microsoft.com/office/drawing/2014/main" id="{61CD7197-18EA-F047-AA89-F24D3334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1" name="Picture 1" descr="https://medya-cdn.tjk.org/imageftp/Img/e1.gif">
          <a:extLst>
            <a:ext uri="{FF2B5EF4-FFF2-40B4-BE49-F238E27FC236}">
              <a16:creationId xmlns:a16="http://schemas.microsoft.com/office/drawing/2014/main" id="{13A5C044-BC8B-BB47-91C3-D38C1D55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2" name="Picture 1" descr="https://medya-cdn.tjk.org/imageftp/Img/e1.gif">
          <a:extLst>
            <a:ext uri="{FF2B5EF4-FFF2-40B4-BE49-F238E27FC236}">
              <a16:creationId xmlns:a16="http://schemas.microsoft.com/office/drawing/2014/main" id="{9205DCA5-B557-CB43-BFCF-C76B18FB9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3" name="Picture 1" descr="https://medya-cdn.tjk.org/imageftp/Img/e1.gif">
          <a:extLst>
            <a:ext uri="{FF2B5EF4-FFF2-40B4-BE49-F238E27FC236}">
              <a16:creationId xmlns:a16="http://schemas.microsoft.com/office/drawing/2014/main" id="{40375206-62A3-1540-B02D-93A81DF0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4" name="Picture 1" descr="https://medya-cdn.tjk.org/imageftp/Img/e1.gif">
          <a:extLst>
            <a:ext uri="{FF2B5EF4-FFF2-40B4-BE49-F238E27FC236}">
              <a16:creationId xmlns:a16="http://schemas.microsoft.com/office/drawing/2014/main" id="{6832BEAB-0D8E-3941-A8D2-0348324B8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5" name="Picture 1" descr="https://medya-cdn.tjk.org/imageftp/Img/e1.gif">
          <a:extLst>
            <a:ext uri="{FF2B5EF4-FFF2-40B4-BE49-F238E27FC236}">
              <a16:creationId xmlns:a16="http://schemas.microsoft.com/office/drawing/2014/main" id="{4147D7F5-435E-854E-8B33-1110B2EC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6" name="Picture 1" descr="https://medya-cdn.tjk.org/imageftp/Img/e1.gif">
          <a:extLst>
            <a:ext uri="{FF2B5EF4-FFF2-40B4-BE49-F238E27FC236}">
              <a16:creationId xmlns:a16="http://schemas.microsoft.com/office/drawing/2014/main" id="{A55AF5FB-D7F1-EB4E-B92A-DE33F6C9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7" name="Picture 1" descr="https://medya-cdn.tjk.org/imageftp/Img/e1.gif">
          <a:extLst>
            <a:ext uri="{FF2B5EF4-FFF2-40B4-BE49-F238E27FC236}">
              <a16:creationId xmlns:a16="http://schemas.microsoft.com/office/drawing/2014/main" id="{20CD4190-99C3-AD40-91D4-36BB0A11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8" name="Picture 1" descr="https://medya-cdn.tjk.org/imageftp/Img/e1.gif">
          <a:extLst>
            <a:ext uri="{FF2B5EF4-FFF2-40B4-BE49-F238E27FC236}">
              <a16:creationId xmlns:a16="http://schemas.microsoft.com/office/drawing/2014/main" id="{4050B44D-FA48-9841-9CCA-4D02039A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69" name="Picture 1" descr="https://medya-cdn.tjk.org/imageftp/Img/e1.gif">
          <a:extLst>
            <a:ext uri="{FF2B5EF4-FFF2-40B4-BE49-F238E27FC236}">
              <a16:creationId xmlns:a16="http://schemas.microsoft.com/office/drawing/2014/main" id="{80838948-9544-DE42-9C50-4820F866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0" name="Picture 1" descr="https://medya-cdn.tjk.org/imageftp/Img/e1.gif">
          <a:extLst>
            <a:ext uri="{FF2B5EF4-FFF2-40B4-BE49-F238E27FC236}">
              <a16:creationId xmlns:a16="http://schemas.microsoft.com/office/drawing/2014/main" id="{376CBA3C-7277-B849-9BF7-6D135872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1" name="Picture 1" descr="https://medya-cdn.tjk.org/imageftp/Img/e1.gif">
          <a:extLst>
            <a:ext uri="{FF2B5EF4-FFF2-40B4-BE49-F238E27FC236}">
              <a16:creationId xmlns:a16="http://schemas.microsoft.com/office/drawing/2014/main" id="{CFE6AC52-1214-8B46-8E8B-965DAF72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2" name="Picture 1" descr="https://medya-cdn.tjk.org/imageftp/Img/e1.gif">
          <a:extLst>
            <a:ext uri="{FF2B5EF4-FFF2-40B4-BE49-F238E27FC236}">
              <a16:creationId xmlns:a16="http://schemas.microsoft.com/office/drawing/2014/main" id="{D7C73519-CBC0-AD46-A1C4-AB1F4EA4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3" name="Picture 1" descr="https://medya-cdn.tjk.org/imageftp/Img/e1.gif">
          <a:extLst>
            <a:ext uri="{FF2B5EF4-FFF2-40B4-BE49-F238E27FC236}">
              <a16:creationId xmlns:a16="http://schemas.microsoft.com/office/drawing/2014/main" id="{93B096CA-1581-0943-AC98-3A84F257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4" name="Picture 1" descr="https://medya-cdn.tjk.org/imageftp/Img/e1.gif">
          <a:extLst>
            <a:ext uri="{FF2B5EF4-FFF2-40B4-BE49-F238E27FC236}">
              <a16:creationId xmlns:a16="http://schemas.microsoft.com/office/drawing/2014/main" id="{EF5AE2FB-82C5-DD45-8962-ABBE1685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5" name="Picture 1" descr="https://medya-cdn.tjk.org/imageftp/Img/e1.gif">
          <a:extLst>
            <a:ext uri="{FF2B5EF4-FFF2-40B4-BE49-F238E27FC236}">
              <a16:creationId xmlns:a16="http://schemas.microsoft.com/office/drawing/2014/main" id="{0ACCE7A9-15AA-2947-BB1C-87C682FC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527876"/>
    <xdr:pic>
      <xdr:nvPicPr>
        <xdr:cNvPr id="476" name="Picture 1" descr="https://medya-cdn.tjk.org/imageftp/Img/e1.gif">
          <a:extLst>
            <a:ext uri="{FF2B5EF4-FFF2-40B4-BE49-F238E27FC236}">
              <a16:creationId xmlns:a16="http://schemas.microsoft.com/office/drawing/2014/main" id="{49D50A02-D493-A141-82B7-338F56E2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5278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477" name="Picture 12" descr="https://medya-cdn.tjk.org/imageftp/Img/e1.gif">
          <a:extLst>
            <a:ext uri="{FF2B5EF4-FFF2-40B4-BE49-F238E27FC236}">
              <a16:creationId xmlns:a16="http://schemas.microsoft.com/office/drawing/2014/main" id="{01C77A1A-E30E-ED4E-9397-173F6EB9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478" name="Picture 12" descr="https://medya-cdn.tjk.org/imageftp/Img/e1.gif">
          <a:extLst>
            <a:ext uri="{FF2B5EF4-FFF2-40B4-BE49-F238E27FC236}">
              <a16:creationId xmlns:a16="http://schemas.microsoft.com/office/drawing/2014/main" id="{34E26326-EB39-1744-B736-CD714CD1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479" name="Picture 12" descr="https://medya-cdn.tjk.org/imageftp/Img/e1.gif">
          <a:extLst>
            <a:ext uri="{FF2B5EF4-FFF2-40B4-BE49-F238E27FC236}">
              <a16:creationId xmlns:a16="http://schemas.microsoft.com/office/drawing/2014/main" id="{8C1DC3A7-8AB2-C240-B9D7-41D1E56A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480" name="Picture 12" descr="https://medya-cdn.tjk.org/imageftp/Img/e1.gif">
          <a:extLst>
            <a:ext uri="{FF2B5EF4-FFF2-40B4-BE49-F238E27FC236}">
              <a16:creationId xmlns:a16="http://schemas.microsoft.com/office/drawing/2014/main" id="{D616F67C-57E8-4C48-A8EA-1A14CF100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660824"/>
    <xdr:sp macro="" textlink="">
      <xdr:nvSpPr>
        <xdr:cNvPr id="481" name="AutoShape 3" descr="https://medya-cdn.tjk.org/imageftp/Img/e1.gif">
          <a:extLst>
            <a:ext uri="{FF2B5EF4-FFF2-40B4-BE49-F238E27FC236}">
              <a16:creationId xmlns:a16="http://schemas.microsoft.com/office/drawing/2014/main" id="{C58DCB2D-C659-464E-BCDC-AE9B87F67F1D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66471600"/>
          <a:ext cx="304800" cy="66082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3335020"/>
    <xdr:sp macro="" textlink="">
      <xdr:nvSpPr>
        <xdr:cNvPr id="482" name="AutoShape 3" descr="https://medya-cdn.tjk.org/imageftp/Img/e1.gif">
          <a:extLst>
            <a:ext uri="{FF2B5EF4-FFF2-40B4-BE49-F238E27FC236}">
              <a16:creationId xmlns:a16="http://schemas.microsoft.com/office/drawing/2014/main" id="{826AF81D-3B67-434E-910B-CE508B31045F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68414700"/>
          <a:ext cx="304800" cy="333502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4477190"/>
    <xdr:sp macro="" textlink="">
      <xdr:nvSpPr>
        <xdr:cNvPr id="483" name="AutoShape 3" descr="https://medya-cdn.tjk.org/imageftp/Img/e1.gif">
          <a:extLst>
            <a:ext uri="{FF2B5EF4-FFF2-40B4-BE49-F238E27FC236}">
              <a16:creationId xmlns:a16="http://schemas.microsoft.com/office/drawing/2014/main" id="{B999A740-3092-034A-B745-F283378808D5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2046900"/>
          <a:ext cx="304800" cy="447719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531621"/>
    <xdr:sp macro="" textlink="">
      <xdr:nvSpPr>
        <xdr:cNvPr id="484" name="AutoShape 3" descr="https://medya-cdn.tjk.org/imageftp/Img/e1.gif">
          <a:extLst>
            <a:ext uri="{FF2B5EF4-FFF2-40B4-BE49-F238E27FC236}">
              <a16:creationId xmlns:a16="http://schemas.microsoft.com/office/drawing/2014/main" id="{D4E704F7-9292-BA40-8A97-A009E9ADA29A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1531621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830054"/>
    <xdr:sp macro="" textlink="">
      <xdr:nvSpPr>
        <xdr:cNvPr id="485" name="AutoShape 3" descr="https://medya-cdn.tjk.org/imageftp/Img/e1.gif">
          <a:extLst>
            <a:ext uri="{FF2B5EF4-FFF2-40B4-BE49-F238E27FC236}">
              <a16:creationId xmlns:a16="http://schemas.microsoft.com/office/drawing/2014/main" id="{6DC0EA98-E664-C44D-932A-35750951CDDF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183005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692894"/>
    <xdr:sp macro="" textlink="">
      <xdr:nvSpPr>
        <xdr:cNvPr id="486" name="AutoShape 3" descr="https://medya-cdn.tjk.org/imageftp/Img/e1.gif">
          <a:extLst>
            <a:ext uri="{FF2B5EF4-FFF2-40B4-BE49-F238E27FC236}">
              <a16:creationId xmlns:a16="http://schemas.microsoft.com/office/drawing/2014/main" id="{E92E42A6-3322-6A49-B7E0-BD3908432263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169289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830054"/>
    <xdr:sp macro="" textlink="">
      <xdr:nvSpPr>
        <xdr:cNvPr id="487" name="AutoShape 3" descr="https://medya-cdn.tjk.org/imageftp/Img/e1.gif">
          <a:extLst>
            <a:ext uri="{FF2B5EF4-FFF2-40B4-BE49-F238E27FC236}">
              <a16:creationId xmlns:a16="http://schemas.microsoft.com/office/drawing/2014/main" id="{27C1AF59-AC4A-A345-BEB2-045B2041D5EB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183005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692894"/>
    <xdr:sp macro="" textlink="">
      <xdr:nvSpPr>
        <xdr:cNvPr id="488" name="AutoShape 3" descr="https://medya-cdn.tjk.org/imageftp/Img/e1.gif">
          <a:extLst>
            <a:ext uri="{FF2B5EF4-FFF2-40B4-BE49-F238E27FC236}">
              <a16:creationId xmlns:a16="http://schemas.microsoft.com/office/drawing/2014/main" id="{3232DBAA-A151-1041-9C48-DC13A11BF60C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169289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759020"/>
    <xdr:sp macro="" textlink="">
      <xdr:nvSpPr>
        <xdr:cNvPr id="489" name="AutoShape 3" descr="https://medya-cdn.tjk.org/imageftp/Img/e1.gif">
          <a:extLst>
            <a:ext uri="{FF2B5EF4-FFF2-40B4-BE49-F238E27FC236}">
              <a16:creationId xmlns:a16="http://schemas.microsoft.com/office/drawing/2014/main" id="{B2F22D87-33B1-BD43-AC5F-A87242E4C092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4256700"/>
          <a:ext cx="304800" cy="75902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828644"/>
    <xdr:sp macro="" textlink="">
      <xdr:nvSpPr>
        <xdr:cNvPr id="490" name="AutoShape 3" descr="https://medya-cdn.tjk.org/imageftp/Img/e1.gif">
          <a:extLst>
            <a:ext uri="{FF2B5EF4-FFF2-40B4-BE49-F238E27FC236}">
              <a16:creationId xmlns:a16="http://schemas.microsoft.com/office/drawing/2014/main" id="{A4519FAA-829C-5448-BE23-5148E74276D5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6441100"/>
          <a:ext cx="304800" cy="182864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801352"/>
    <xdr:sp macro="" textlink="">
      <xdr:nvSpPr>
        <xdr:cNvPr id="491" name="AutoShape 3" descr="https://medya-cdn.tjk.org/imageftp/Img/e1.gif">
          <a:extLst>
            <a:ext uri="{FF2B5EF4-FFF2-40B4-BE49-F238E27FC236}">
              <a16:creationId xmlns:a16="http://schemas.microsoft.com/office/drawing/2014/main" id="{253AC642-13F1-9740-9172-C8A69CE1815A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6961800"/>
          <a:ext cx="304800" cy="801352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92" name="Picture 14" descr="https://medya-cdn.tjk.org/imageftp/Img/e1.gif">
          <a:extLst>
            <a:ext uri="{FF2B5EF4-FFF2-40B4-BE49-F238E27FC236}">
              <a16:creationId xmlns:a16="http://schemas.microsoft.com/office/drawing/2014/main" id="{E5125E34-99D4-5B4A-8BDF-000B6B97E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77215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93" name="Picture 15" descr="https://medya-cdn.tjk.org/imageftp/Img/e1.gif">
          <a:extLst>
            <a:ext uri="{FF2B5EF4-FFF2-40B4-BE49-F238E27FC236}">
              <a16:creationId xmlns:a16="http://schemas.microsoft.com/office/drawing/2014/main" id="{B0FAE6D1-AC2A-1940-ACB8-EA10AF8CD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776984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801353"/>
    <xdr:sp macro="" textlink="">
      <xdr:nvSpPr>
        <xdr:cNvPr id="494" name="AutoShape 3" descr="https://medya-cdn.tjk.org/imageftp/Img/e1.gif">
          <a:extLst>
            <a:ext uri="{FF2B5EF4-FFF2-40B4-BE49-F238E27FC236}">
              <a16:creationId xmlns:a16="http://schemas.microsoft.com/office/drawing/2014/main" id="{12D5FD00-B369-EA47-A452-EDA5D4F0E4E3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9425600"/>
          <a:ext cx="304800" cy="80135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801353"/>
    <xdr:sp macro="" textlink="">
      <xdr:nvSpPr>
        <xdr:cNvPr id="495" name="AutoShape 3" descr="https://medya-cdn.tjk.org/imageftp/Img/e1.gif">
          <a:extLst>
            <a:ext uri="{FF2B5EF4-FFF2-40B4-BE49-F238E27FC236}">
              <a16:creationId xmlns:a16="http://schemas.microsoft.com/office/drawing/2014/main" id="{055C88A4-C4C0-7645-BF26-CB8095B828C9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82613300"/>
          <a:ext cx="304800" cy="80135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801354"/>
    <xdr:sp macro="" textlink="">
      <xdr:nvSpPr>
        <xdr:cNvPr id="496" name="AutoShape 3" descr="https://medya-cdn.tjk.org/imageftp/Img/e1.gif">
          <a:extLst>
            <a:ext uri="{FF2B5EF4-FFF2-40B4-BE49-F238E27FC236}">
              <a16:creationId xmlns:a16="http://schemas.microsoft.com/office/drawing/2014/main" id="{D26A9EA5-AECB-4140-BB77-A4D9B4070455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85318400"/>
          <a:ext cx="304800" cy="80135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97" name="Picture 6" descr="https://medya-cdn.tjk.org/imageftp/Img/e1.gif">
          <a:extLst>
            <a:ext uri="{FF2B5EF4-FFF2-40B4-BE49-F238E27FC236}">
              <a16:creationId xmlns:a16="http://schemas.microsoft.com/office/drawing/2014/main" id="{7FA0171A-C316-B04A-A3E7-418FF3E4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3929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98" name="Picture 7" descr="https://medya-cdn.tjk.org/imageftp/Img/e1.gif">
          <a:extLst>
            <a:ext uri="{FF2B5EF4-FFF2-40B4-BE49-F238E27FC236}">
              <a16:creationId xmlns:a16="http://schemas.microsoft.com/office/drawing/2014/main" id="{D7B3E37F-F97D-5D42-AF45-2CF36801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875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499" name="Picture 4" descr="https://medya-cdn.tjk.org/imageftp/Img/e1.gif">
          <a:extLst>
            <a:ext uri="{FF2B5EF4-FFF2-40B4-BE49-F238E27FC236}">
              <a16:creationId xmlns:a16="http://schemas.microsoft.com/office/drawing/2014/main" id="{4FBD605D-87E4-A943-82FC-1133A777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4447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00" name="Picture 9" descr="https://medya-cdn.tjk.org/imageftp/Img/e1.gif">
          <a:extLst>
            <a:ext uri="{FF2B5EF4-FFF2-40B4-BE49-F238E27FC236}">
              <a16:creationId xmlns:a16="http://schemas.microsoft.com/office/drawing/2014/main" id="{A3544C45-E62D-C141-938D-5D68F2B3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7101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501" name="Picture 12" descr="https://medya-cdn.tjk.org/imageftp/Img/e1.gif">
          <a:extLst>
            <a:ext uri="{FF2B5EF4-FFF2-40B4-BE49-F238E27FC236}">
              <a16:creationId xmlns:a16="http://schemas.microsoft.com/office/drawing/2014/main" id="{3B50CDD9-EB5F-5445-B04E-530AA7B3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502" name="Picture 12" descr="https://medya-cdn.tjk.org/imageftp/Img/e1.gif">
          <a:extLst>
            <a:ext uri="{FF2B5EF4-FFF2-40B4-BE49-F238E27FC236}">
              <a16:creationId xmlns:a16="http://schemas.microsoft.com/office/drawing/2014/main" id="{069D0CFB-84B3-E04F-90DF-D92EB2FF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503" name="Picture 12" descr="https://medya-cdn.tjk.org/imageftp/Img/e1.gif">
          <a:extLst>
            <a:ext uri="{FF2B5EF4-FFF2-40B4-BE49-F238E27FC236}">
              <a16:creationId xmlns:a16="http://schemas.microsoft.com/office/drawing/2014/main" id="{7600B2B8-71F4-4848-95E6-F990E39B9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50</xdr:row>
      <xdr:rowOff>9525</xdr:rowOff>
    </xdr:from>
    <xdr:ext cx="15240" cy="142875"/>
    <xdr:pic>
      <xdr:nvPicPr>
        <xdr:cNvPr id="504" name="Picture 12" descr="https://medya-cdn.tjk.org/imageftp/Img/e1.gif">
          <a:extLst>
            <a:ext uri="{FF2B5EF4-FFF2-40B4-BE49-F238E27FC236}">
              <a16:creationId xmlns:a16="http://schemas.microsoft.com/office/drawing/2014/main" id="{A1A9A7C9-78AF-6549-B116-F64096CA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1634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05" name="Picture 6" descr="https://medya-cdn.tjk.org/imageftp/Img/e1.gif">
          <a:extLst>
            <a:ext uri="{FF2B5EF4-FFF2-40B4-BE49-F238E27FC236}">
              <a16:creationId xmlns:a16="http://schemas.microsoft.com/office/drawing/2014/main" id="{A667BEF5-D164-9746-9B7A-D7FE624B6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3929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06" name="Picture 7" descr="https://medya-cdn.tjk.org/imageftp/Img/e1.gif">
          <a:extLst>
            <a:ext uri="{FF2B5EF4-FFF2-40B4-BE49-F238E27FC236}">
              <a16:creationId xmlns:a16="http://schemas.microsoft.com/office/drawing/2014/main" id="{30A2891D-FE58-0546-8CB5-D1A56922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9875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07" name="Picture 4" descr="https://medya-cdn.tjk.org/imageftp/Img/e1.gif">
          <a:extLst>
            <a:ext uri="{FF2B5EF4-FFF2-40B4-BE49-F238E27FC236}">
              <a16:creationId xmlns:a16="http://schemas.microsoft.com/office/drawing/2014/main" id="{89534D3E-E15C-B64F-99D2-7D1C5742B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44475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08" name="Picture 9" descr="https://medya-cdn.tjk.org/imageftp/Img/e1.gif">
          <a:extLst>
            <a:ext uri="{FF2B5EF4-FFF2-40B4-BE49-F238E27FC236}">
              <a16:creationId xmlns:a16="http://schemas.microsoft.com/office/drawing/2014/main" id="{1E24DA17-214C-B24C-A266-CBAEF2651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27101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856595"/>
    <xdr:pic>
      <xdr:nvPicPr>
        <xdr:cNvPr id="509" name="Picture 48" descr="https://medya-cdn.tjk.org/imageftp/Img/e1.gif">
          <a:extLst>
            <a:ext uri="{FF2B5EF4-FFF2-40B4-BE49-F238E27FC236}">
              <a16:creationId xmlns:a16="http://schemas.microsoft.com/office/drawing/2014/main" id="{84993AF3-9591-904C-9822-D4AB5C44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858440" y="42230040"/>
          <a:ext cx="0" cy="85659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510" name="Picture 61" descr="https://medya-cdn.tjk.org/imageftp/Img/e2.gif">
          <a:extLst>
            <a:ext uri="{FF2B5EF4-FFF2-40B4-BE49-F238E27FC236}">
              <a16:creationId xmlns:a16="http://schemas.microsoft.com/office/drawing/2014/main" id="{5A8350CD-FD13-D542-94CA-FD4508C28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904160" y="4522216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511" name="Picture 64" descr="https://medya-cdn.tjk.org/imageftp/Img/e1.gif">
          <a:extLst>
            <a:ext uri="{FF2B5EF4-FFF2-40B4-BE49-F238E27FC236}">
              <a16:creationId xmlns:a16="http://schemas.microsoft.com/office/drawing/2014/main" id="{B520C306-D936-434D-8505-F88273E86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965120" y="4568952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780"/>
    <xdr:pic>
      <xdr:nvPicPr>
        <xdr:cNvPr id="512" name="Picture 68" descr="https://medya-cdn.tjk.org/imageftp/Img/e2.gif">
          <a:extLst>
            <a:ext uri="{FF2B5EF4-FFF2-40B4-BE49-F238E27FC236}">
              <a16:creationId xmlns:a16="http://schemas.microsoft.com/office/drawing/2014/main" id="{141BEDA3-2AC9-914A-A525-B20F00248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1041320" y="46428660"/>
          <a:ext cx="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200025" cy="141991"/>
    <xdr:pic>
      <xdr:nvPicPr>
        <xdr:cNvPr id="513" name="Picture 1" descr="https://medya-cdn.tjk.org/imageftp/Img/e1.gif">
          <a:extLst>
            <a:ext uri="{FF2B5EF4-FFF2-40B4-BE49-F238E27FC236}">
              <a16:creationId xmlns:a16="http://schemas.microsoft.com/office/drawing/2014/main" id="{27C75B7B-D964-5041-AC7C-C7F328FA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79197200"/>
          <a:ext cx="200025" cy="141991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200025" cy="142875"/>
    <xdr:pic>
      <xdr:nvPicPr>
        <xdr:cNvPr id="514" name="Picture 12" descr="https://medya-cdn.tjk.org/imageftp/Img/e1.gif">
          <a:extLst>
            <a:ext uri="{FF2B5EF4-FFF2-40B4-BE49-F238E27FC236}">
              <a16:creationId xmlns:a16="http://schemas.microsoft.com/office/drawing/2014/main" id="{DA2BB87B-B7F7-1040-8691-96F52908F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81822925"/>
          <a:ext cx="200025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874183"/>
    <xdr:sp macro="" textlink="">
      <xdr:nvSpPr>
        <xdr:cNvPr id="517" name="AutoShape 3" descr="https://medya-cdn.tjk.org/imageftp/Img/e1.gif">
          <a:extLst>
            <a:ext uri="{FF2B5EF4-FFF2-40B4-BE49-F238E27FC236}">
              <a16:creationId xmlns:a16="http://schemas.microsoft.com/office/drawing/2014/main" id="{52487BB0-295C-AD46-A25C-4B733D1795AF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18046500"/>
          <a:ext cx="304800" cy="87418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18" name="Picture 1" descr="https://medya-cdn.tjk.org/imageftp/Img/e1.gif">
          <a:extLst>
            <a:ext uri="{FF2B5EF4-FFF2-40B4-BE49-F238E27FC236}">
              <a16:creationId xmlns:a16="http://schemas.microsoft.com/office/drawing/2014/main" id="{8752453E-0DC1-4141-8244-8CB80E6BD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19" name="Picture 1" descr="https://medya-cdn.tjk.org/imageftp/Img/e1.gif">
          <a:extLst>
            <a:ext uri="{FF2B5EF4-FFF2-40B4-BE49-F238E27FC236}">
              <a16:creationId xmlns:a16="http://schemas.microsoft.com/office/drawing/2014/main" id="{D24C7D1A-17FF-174A-AA66-D0EF7E62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0" name="Picture 1" descr="https://medya-cdn.tjk.org/imageftp/Img/e1.gif">
          <a:extLst>
            <a:ext uri="{FF2B5EF4-FFF2-40B4-BE49-F238E27FC236}">
              <a16:creationId xmlns:a16="http://schemas.microsoft.com/office/drawing/2014/main" id="{D63F1927-8496-124D-8D96-AD8CE86BC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1" name="Picture 1" descr="https://medya-cdn.tjk.org/imageftp/Img/e1.gif">
          <a:extLst>
            <a:ext uri="{FF2B5EF4-FFF2-40B4-BE49-F238E27FC236}">
              <a16:creationId xmlns:a16="http://schemas.microsoft.com/office/drawing/2014/main" id="{D66609A3-5AB8-E446-8409-5F90860A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2" name="Picture 1" descr="https://medya-cdn.tjk.org/imageftp/Img/e1.gif">
          <a:extLst>
            <a:ext uri="{FF2B5EF4-FFF2-40B4-BE49-F238E27FC236}">
              <a16:creationId xmlns:a16="http://schemas.microsoft.com/office/drawing/2014/main" id="{6F0A41D7-ED1F-8949-9652-E21B53BA4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3" name="Picture 1" descr="https://medya-cdn.tjk.org/imageftp/Img/e1.gif">
          <a:extLst>
            <a:ext uri="{FF2B5EF4-FFF2-40B4-BE49-F238E27FC236}">
              <a16:creationId xmlns:a16="http://schemas.microsoft.com/office/drawing/2014/main" id="{8C91D423-A914-424F-8709-B43B6A19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4" name="Picture 1" descr="https://medya-cdn.tjk.org/imageftp/Img/e1.gif">
          <a:extLst>
            <a:ext uri="{FF2B5EF4-FFF2-40B4-BE49-F238E27FC236}">
              <a16:creationId xmlns:a16="http://schemas.microsoft.com/office/drawing/2014/main" id="{78D3C77B-69BB-A546-B26F-21756AD7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5" name="Picture 1" descr="https://medya-cdn.tjk.org/imageftp/Img/e1.gif">
          <a:extLst>
            <a:ext uri="{FF2B5EF4-FFF2-40B4-BE49-F238E27FC236}">
              <a16:creationId xmlns:a16="http://schemas.microsoft.com/office/drawing/2014/main" id="{F49973ED-8584-5F41-9810-222ABE12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6" name="Picture 1" descr="https://medya-cdn.tjk.org/imageftp/Img/e1.gif">
          <a:extLst>
            <a:ext uri="{FF2B5EF4-FFF2-40B4-BE49-F238E27FC236}">
              <a16:creationId xmlns:a16="http://schemas.microsoft.com/office/drawing/2014/main" id="{7C630CA3-0665-A944-A90C-66F2997C9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7" name="Picture 1" descr="https://medya-cdn.tjk.org/imageftp/Img/e1.gif">
          <a:extLst>
            <a:ext uri="{FF2B5EF4-FFF2-40B4-BE49-F238E27FC236}">
              <a16:creationId xmlns:a16="http://schemas.microsoft.com/office/drawing/2014/main" id="{287AB070-42E9-0C43-9E06-F0661BF05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8" name="Picture 1" descr="https://medya-cdn.tjk.org/imageftp/Img/e1.gif">
          <a:extLst>
            <a:ext uri="{FF2B5EF4-FFF2-40B4-BE49-F238E27FC236}">
              <a16:creationId xmlns:a16="http://schemas.microsoft.com/office/drawing/2014/main" id="{30D7C1E0-E1B1-BB4B-AFD0-5229EF2E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29" name="Picture 1" descr="https://medya-cdn.tjk.org/imageftp/Img/e1.gif">
          <a:extLst>
            <a:ext uri="{FF2B5EF4-FFF2-40B4-BE49-F238E27FC236}">
              <a16:creationId xmlns:a16="http://schemas.microsoft.com/office/drawing/2014/main" id="{D7A6DE02-6DF9-4640-AA80-9A4AF28B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30" name="Picture 1" descr="https://medya-cdn.tjk.org/imageftp/Img/e1.gif">
          <a:extLst>
            <a:ext uri="{FF2B5EF4-FFF2-40B4-BE49-F238E27FC236}">
              <a16:creationId xmlns:a16="http://schemas.microsoft.com/office/drawing/2014/main" id="{578385C8-71DA-024F-AF21-1DE2E820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31" name="Picture 1" descr="https://medya-cdn.tjk.org/imageftp/Img/e1.gif">
          <a:extLst>
            <a:ext uri="{FF2B5EF4-FFF2-40B4-BE49-F238E27FC236}">
              <a16:creationId xmlns:a16="http://schemas.microsoft.com/office/drawing/2014/main" id="{119D4CB8-5C0B-C648-B963-611D4AE2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32" name="Picture 1" descr="https://medya-cdn.tjk.org/imageftp/Img/e1.gif">
          <a:extLst>
            <a:ext uri="{FF2B5EF4-FFF2-40B4-BE49-F238E27FC236}">
              <a16:creationId xmlns:a16="http://schemas.microsoft.com/office/drawing/2014/main" id="{D1B7261F-1FA9-5148-AE2B-A72C30D3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7532"/>
    <xdr:pic>
      <xdr:nvPicPr>
        <xdr:cNvPr id="533" name="Picture 1" descr="https://medya-cdn.tjk.org/imageftp/Img/e1.gif">
          <a:extLst>
            <a:ext uri="{FF2B5EF4-FFF2-40B4-BE49-F238E27FC236}">
              <a16:creationId xmlns:a16="http://schemas.microsoft.com/office/drawing/2014/main" id="{898EE145-A12D-D94F-BFFD-2B050EE3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18046500"/>
          <a:ext cx="0" cy="147532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38" name="Picture 1" descr="https://medya-cdn.tjk.org/imageftp/Img/e1.gif">
          <a:extLst>
            <a:ext uri="{FF2B5EF4-FFF2-40B4-BE49-F238E27FC236}">
              <a16:creationId xmlns:a16="http://schemas.microsoft.com/office/drawing/2014/main" id="{5464B093-10B0-3F40-B8A6-72CAEA98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39" name="Picture 1" descr="https://medya-cdn.tjk.org/imageftp/Img/e1.gif">
          <a:extLst>
            <a:ext uri="{FF2B5EF4-FFF2-40B4-BE49-F238E27FC236}">
              <a16:creationId xmlns:a16="http://schemas.microsoft.com/office/drawing/2014/main" id="{ADD772D5-BEC1-AE43-A5C5-537AEC2F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0" name="Picture 1" descr="https://medya-cdn.tjk.org/imageftp/Img/e1.gif">
          <a:extLst>
            <a:ext uri="{FF2B5EF4-FFF2-40B4-BE49-F238E27FC236}">
              <a16:creationId xmlns:a16="http://schemas.microsoft.com/office/drawing/2014/main" id="{2777F528-DD94-0749-A9E9-72E699DAA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1" name="Picture 1" descr="https://medya-cdn.tjk.org/imageftp/Img/e1.gif">
          <a:extLst>
            <a:ext uri="{FF2B5EF4-FFF2-40B4-BE49-F238E27FC236}">
              <a16:creationId xmlns:a16="http://schemas.microsoft.com/office/drawing/2014/main" id="{6C3BC58D-BD27-DE4E-8814-75024F7DC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2" name="Picture 1" descr="https://medya-cdn.tjk.org/imageftp/Img/e1.gif">
          <a:extLst>
            <a:ext uri="{FF2B5EF4-FFF2-40B4-BE49-F238E27FC236}">
              <a16:creationId xmlns:a16="http://schemas.microsoft.com/office/drawing/2014/main" id="{F28800D2-84B8-DF44-9DBC-2D0A4DF8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3" name="Picture 1" descr="https://medya-cdn.tjk.org/imageftp/Img/e1.gif">
          <a:extLst>
            <a:ext uri="{FF2B5EF4-FFF2-40B4-BE49-F238E27FC236}">
              <a16:creationId xmlns:a16="http://schemas.microsoft.com/office/drawing/2014/main" id="{5B2E8E77-1DC7-1941-BC27-296BAB48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4" name="Picture 1" descr="https://medya-cdn.tjk.org/imageftp/Img/e1.gif">
          <a:extLst>
            <a:ext uri="{FF2B5EF4-FFF2-40B4-BE49-F238E27FC236}">
              <a16:creationId xmlns:a16="http://schemas.microsoft.com/office/drawing/2014/main" id="{3913B9E2-6B98-0A4E-BFA7-2AE23720B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5" name="Picture 1" descr="https://medya-cdn.tjk.org/imageftp/Img/e1.gif">
          <a:extLst>
            <a:ext uri="{FF2B5EF4-FFF2-40B4-BE49-F238E27FC236}">
              <a16:creationId xmlns:a16="http://schemas.microsoft.com/office/drawing/2014/main" id="{BA284278-E75F-1946-B1FB-E7533D94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6" name="Picture 1" descr="https://medya-cdn.tjk.org/imageftp/Img/e1.gif">
          <a:extLst>
            <a:ext uri="{FF2B5EF4-FFF2-40B4-BE49-F238E27FC236}">
              <a16:creationId xmlns:a16="http://schemas.microsoft.com/office/drawing/2014/main" id="{FD7B8827-8DA2-0F42-AC95-54E293762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7" name="Picture 1" descr="https://medya-cdn.tjk.org/imageftp/Img/e1.gif">
          <a:extLst>
            <a:ext uri="{FF2B5EF4-FFF2-40B4-BE49-F238E27FC236}">
              <a16:creationId xmlns:a16="http://schemas.microsoft.com/office/drawing/2014/main" id="{7A326B76-ECCB-2446-9F7C-394D9545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8" name="Picture 1" descr="https://medya-cdn.tjk.org/imageftp/Img/e1.gif">
          <a:extLst>
            <a:ext uri="{FF2B5EF4-FFF2-40B4-BE49-F238E27FC236}">
              <a16:creationId xmlns:a16="http://schemas.microsoft.com/office/drawing/2014/main" id="{B16FA213-6C07-F345-A176-E0FD2D5D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49" name="Picture 1" descr="https://medya-cdn.tjk.org/imageftp/Img/e1.gif">
          <a:extLst>
            <a:ext uri="{FF2B5EF4-FFF2-40B4-BE49-F238E27FC236}">
              <a16:creationId xmlns:a16="http://schemas.microsoft.com/office/drawing/2014/main" id="{75A83C3D-A8AA-0749-90EF-B7F28BB0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50" name="Picture 1" descr="https://medya-cdn.tjk.org/imageftp/Img/e1.gif">
          <a:extLst>
            <a:ext uri="{FF2B5EF4-FFF2-40B4-BE49-F238E27FC236}">
              <a16:creationId xmlns:a16="http://schemas.microsoft.com/office/drawing/2014/main" id="{67229E53-5AFB-994E-AA23-8137E80FB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51" name="Picture 1" descr="https://medya-cdn.tjk.org/imageftp/Img/e1.gif">
          <a:extLst>
            <a:ext uri="{FF2B5EF4-FFF2-40B4-BE49-F238E27FC236}">
              <a16:creationId xmlns:a16="http://schemas.microsoft.com/office/drawing/2014/main" id="{6229FFA4-96B1-C846-A9BF-8ACFE5AD3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52" name="Picture 1" descr="https://medya-cdn.tjk.org/imageftp/Img/e1.gif">
          <a:extLst>
            <a:ext uri="{FF2B5EF4-FFF2-40B4-BE49-F238E27FC236}">
              <a16:creationId xmlns:a16="http://schemas.microsoft.com/office/drawing/2014/main" id="{2A18924E-64C2-3D45-AE85-B3CD612A7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144569"/>
    <xdr:pic>
      <xdr:nvPicPr>
        <xdr:cNvPr id="553" name="Picture 1" descr="https://medya-cdn.tjk.org/imageftp/Img/e1.gif">
          <a:extLst>
            <a:ext uri="{FF2B5EF4-FFF2-40B4-BE49-F238E27FC236}">
              <a16:creationId xmlns:a16="http://schemas.microsoft.com/office/drawing/2014/main" id="{21C22180-0CF9-B543-843C-2322191A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3393200"/>
          <a:ext cx="0" cy="144569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4" name="Picture 1" descr="https://medya-cdn.tjk.org/imageftp/Img/e1.gif">
          <a:extLst>
            <a:ext uri="{FF2B5EF4-FFF2-40B4-BE49-F238E27FC236}">
              <a16:creationId xmlns:a16="http://schemas.microsoft.com/office/drawing/2014/main" id="{9E93330D-9D78-F34F-96F6-D4DB9558A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5" name="Picture 1" descr="https://medya-cdn.tjk.org/imageftp/Img/e1.gif">
          <a:extLst>
            <a:ext uri="{FF2B5EF4-FFF2-40B4-BE49-F238E27FC236}">
              <a16:creationId xmlns:a16="http://schemas.microsoft.com/office/drawing/2014/main" id="{8FB8B2A8-2594-6448-B9D1-3B7C1BCF3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6" name="Picture 1" descr="https://medya-cdn.tjk.org/imageftp/Img/e1.gif">
          <a:extLst>
            <a:ext uri="{FF2B5EF4-FFF2-40B4-BE49-F238E27FC236}">
              <a16:creationId xmlns:a16="http://schemas.microsoft.com/office/drawing/2014/main" id="{E5011283-96D9-0F47-8EBF-1A5EFD12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7" name="Picture 1" descr="https://medya-cdn.tjk.org/imageftp/Img/e1.gif">
          <a:extLst>
            <a:ext uri="{FF2B5EF4-FFF2-40B4-BE49-F238E27FC236}">
              <a16:creationId xmlns:a16="http://schemas.microsoft.com/office/drawing/2014/main" id="{3A83F8E6-B68D-3F42-A01F-3260D79CA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8" name="Picture 1" descr="https://medya-cdn.tjk.org/imageftp/Img/e1.gif">
          <a:extLst>
            <a:ext uri="{FF2B5EF4-FFF2-40B4-BE49-F238E27FC236}">
              <a16:creationId xmlns:a16="http://schemas.microsoft.com/office/drawing/2014/main" id="{505EF2E8-9DC6-3844-B720-ACD4E362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59" name="Picture 1" descr="https://medya-cdn.tjk.org/imageftp/Img/e1.gif">
          <a:extLst>
            <a:ext uri="{FF2B5EF4-FFF2-40B4-BE49-F238E27FC236}">
              <a16:creationId xmlns:a16="http://schemas.microsoft.com/office/drawing/2014/main" id="{689E657A-507F-2C45-B55B-42ED7680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0" name="Picture 1" descr="https://medya-cdn.tjk.org/imageftp/Img/e1.gif">
          <a:extLst>
            <a:ext uri="{FF2B5EF4-FFF2-40B4-BE49-F238E27FC236}">
              <a16:creationId xmlns:a16="http://schemas.microsoft.com/office/drawing/2014/main" id="{36A7F6F4-1AB9-3749-84B9-1CCE555F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1" name="Picture 1" descr="https://medya-cdn.tjk.org/imageftp/Img/e1.gif">
          <a:extLst>
            <a:ext uri="{FF2B5EF4-FFF2-40B4-BE49-F238E27FC236}">
              <a16:creationId xmlns:a16="http://schemas.microsoft.com/office/drawing/2014/main" id="{B547C170-A3A8-C04D-9D63-CC4439FD9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2" name="Picture 1" descr="https://medya-cdn.tjk.org/imageftp/Img/e1.gif">
          <a:extLst>
            <a:ext uri="{FF2B5EF4-FFF2-40B4-BE49-F238E27FC236}">
              <a16:creationId xmlns:a16="http://schemas.microsoft.com/office/drawing/2014/main" id="{A9D43C50-89B2-EE4A-9B59-422156552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3" name="Picture 1" descr="https://medya-cdn.tjk.org/imageftp/Img/e1.gif">
          <a:extLst>
            <a:ext uri="{FF2B5EF4-FFF2-40B4-BE49-F238E27FC236}">
              <a16:creationId xmlns:a16="http://schemas.microsoft.com/office/drawing/2014/main" id="{3CA32F16-6849-F14F-9DCE-C57BDA96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4" name="Picture 1" descr="https://medya-cdn.tjk.org/imageftp/Img/e1.gif">
          <a:extLst>
            <a:ext uri="{FF2B5EF4-FFF2-40B4-BE49-F238E27FC236}">
              <a16:creationId xmlns:a16="http://schemas.microsoft.com/office/drawing/2014/main" id="{39FF70AF-E7A7-974E-88DF-88CFD624E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5" name="Picture 1" descr="https://medya-cdn.tjk.org/imageftp/Img/e1.gif">
          <a:extLst>
            <a:ext uri="{FF2B5EF4-FFF2-40B4-BE49-F238E27FC236}">
              <a16:creationId xmlns:a16="http://schemas.microsoft.com/office/drawing/2014/main" id="{6ED2CC36-8E9D-924D-91D7-6126DCE01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6" name="Picture 1" descr="https://medya-cdn.tjk.org/imageftp/Img/e1.gif">
          <a:extLst>
            <a:ext uri="{FF2B5EF4-FFF2-40B4-BE49-F238E27FC236}">
              <a16:creationId xmlns:a16="http://schemas.microsoft.com/office/drawing/2014/main" id="{DC0149D3-3F43-9D44-B578-98F33CD4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7" name="Picture 1" descr="https://medya-cdn.tjk.org/imageftp/Img/e1.gif">
          <a:extLst>
            <a:ext uri="{FF2B5EF4-FFF2-40B4-BE49-F238E27FC236}">
              <a16:creationId xmlns:a16="http://schemas.microsoft.com/office/drawing/2014/main" id="{2893C8B2-FF7A-614D-9C29-14D815C8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8" name="Picture 1" descr="https://medya-cdn.tjk.org/imageftp/Img/e1.gif">
          <a:extLst>
            <a:ext uri="{FF2B5EF4-FFF2-40B4-BE49-F238E27FC236}">
              <a16:creationId xmlns:a16="http://schemas.microsoft.com/office/drawing/2014/main" id="{10811226-31FE-F54C-83A8-F690AFC77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69" name="Picture 1" descr="https://medya-cdn.tjk.org/imageftp/Img/e1.gif">
          <a:extLst>
            <a:ext uri="{FF2B5EF4-FFF2-40B4-BE49-F238E27FC236}">
              <a16:creationId xmlns:a16="http://schemas.microsoft.com/office/drawing/2014/main" id="{C00BEF67-34DE-784B-9C45-5D6B84F08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70" name="Picture 1" descr="https://medya-cdn.tjk.org/imageftp/Img/e1.gif">
          <a:extLst>
            <a:ext uri="{FF2B5EF4-FFF2-40B4-BE49-F238E27FC236}">
              <a16:creationId xmlns:a16="http://schemas.microsoft.com/office/drawing/2014/main" id="{46775445-D1AC-2247-B383-632F2A5D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71" name="Picture 1" descr="https://medya-cdn.tjk.org/imageftp/Img/e1.gif">
          <a:extLst>
            <a:ext uri="{FF2B5EF4-FFF2-40B4-BE49-F238E27FC236}">
              <a16:creationId xmlns:a16="http://schemas.microsoft.com/office/drawing/2014/main" id="{8114B5C4-A1DF-2740-9E7C-39805B283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72" name="Picture 1" descr="https://medya-cdn.tjk.org/imageftp/Img/e1.gif">
          <a:extLst>
            <a:ext uri="{FF2B5EF4-FFF2-40B4-BE49-F238E27FC236}">
              <a16:creationId xmlns:a16="http://schemas.microsoft.com/office/drawing/2014/main" id="{A68B6B01-1A1E-D542-B636-DCDCF25B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0" cy="604076"/>
    <xdr:pic>
      <xdr:nvPicPr>
        <xdr:cNvPr id="573" name="Picture 1" descr="https://medya-cdn.tjk.org/imageftp/Img/e1.gif">
          <a:extLst>
            <a:ext uri="{FF2B5EF4-FFF2-40B4-BE49-F238E27FC236}">
              <a16:creationId xmlns:a16="http://schemas.microsoft.com/office/drawing/2014/main" id="{82A1C6A6-0D49-1947-A996-63D21269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852725" y="126047500"/>
          <a:ext cx="0" cy="604076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574" name="Picture 12" descr="https://medya-cdn.tjk.org/imageftp/Img/e1.gif">
          <a:extLst>
            <a:ext uri="{FF2B5EF4-FFF2-40B4-BE49-F238E27FC236}">
              <a16:creationId xmlns:a16="http://schemas.microsoft.com/office/drawing/2014/main" id="{697F67B3-2995-1A49-9073-BE9E5C09E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575" name="Picture 12" descr="https://medya-cdn.tjk.org/imageftp/Img/e1.gif">
          <a:extLst>
            <a:ext uri="{FF2B5EF4-FFF2-40B4-BE49-F238E27FC236}">
              <a16:creationId xmlns:a16="http://schemas.microsoft.com/office/drawing/2014/main" id="{7378DAAD-161F-A24D-BAA4-DD9BD0B0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576" name="Picture 12" descr="https://medya-cdn.tjk.org/imageftp/Img/e1.gif">
          <a:extLst>
            <a:ext uri="{FF2B5EF4-FFF2-40B4-BE49-F238E27FC236}">
              <a16:creationId xmlns:a16="http://schemas.microsoft.com/office/drawing/2014/main" id="{D02057CF-3C29-6144-9803-0057A0662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5240" cy="142875"/>
    <xdr:pic>
      <xdr:nvPicPr>
        <xdr:cNvPr id="577" name="Picture 12" descr="https://medya-cdn.tjk.org/imageftp/Img/e1.gif">
          <a:extLst>
            <a:ext uri="{FF2B5EF4-FFF2-40B4-BE49-F238E27FC236}">
              <a16:creationId xmlns:a16="http://schemas.microsoft.com/office/drawing/2014/main" id="{B247E422-11A6-6040-9C01-EC3A9BBB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786050" y="128673225"/>
          <a:ext cx="15240" cy="142875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775124"/>
    <xdr:sp macro="" textlink="">
      <xdr:nvSpPr>
        <xdr:cNvPr id="578" name="AutoShape 3" descr="https://medya-cdn.tjk.org/imageftp/Img/e1.gif">
          <a:extLst>
            <a:ext uri="{FF2B5EF4-FFF2-40B4-BE49-F238E27FC236}">
              <a16:creationId xmlns:a16="http://schemas.microsoft.com/office/drawing/2014/main" id="{F6A301CE-F929-804E-AF58-DAD5FF5AE940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66471600"/>
          <a:ext cx="304800" cy="77512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3957320"/>
    <xdr:sp macro="" textlink="">
      <xdr:nvSpPr>
        <xdr:cNvPr id="579" name="AutoShape 3" descr="https://medya-cdn.tjk.org/imageftp/Img/e1.gif">
          <a:extLst>
            <a:ext uri="{FF2B5EF4-FFF2-40B4-BE49-F238E27FC236}">
              <a16:creationId xmlns:a16="http://schemas.microsoft.com/office/drawing/2014/main" id="{6E06F82F-4C81-7A4F-9204-24786434C844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68414700"/>
          <a:ext cx="304800" cy="395732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5899590"/>
    <xdr:sp macro="" textlink="">
      <xdr:nvSpPr>
        <xdr:cNvPr id="580" name="AutoShape 3" descr="https://medya-cdn.tjk.org/imageftp/Img/e1.gif">
          <a:extLst>
            <a:ext uri="{FF2B5EF4-FFF2-40B4-BE49-F238E27FC236}">
              <a16:creationId xmlns:a16="http://schemas.microsoft.com/office/drawing/2014/main" id="{02C8E785-CC3D-6048-8A75-0FF8F702D8E4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2046900"/>
          <a:ext cx="304800" cy="589959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2090421"/>
    <xdr:sp macro="" textlink="">
      <xdr:nvSpPr>
        <xdr:cNvPr id="581" name="AutoShape 3" descr="https://medya-cdn.tjk.org/imageftp/Img/e1.gif">
          <a:extLst>
            <a:ext uri="{FF2B5EF4-FFF2-40B4-BE49-F238E27FC236}">
              <a16:creationId xmlns:a16="http://schemas.microsoft.com/office/drawing/2014/main" id="{23F97BF9-ED6C-5442-80FA-38ED63B5D712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2090421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2465054"/>
    <xdr:sp macro="" textlink="">
      <xdr:nvSpPr>
        <xdr:cNvPr id="582" name="AutoShape 3" descr="https://medya-cdn.tjk.org/imageftp/Img/e1.gif">
          <a:extLst>
            <a:ext uri="{FF2B5EF4-FFF2-40B4-BE49-F238E27FC236}">
              <a16:creationId xmlns:a16="http://schemas.microsoft.com/office/drawing/2014/main" id="{F19034AF-15D5-A34A-A098-D5A59650B19F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246505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2289794"/>
    <xdr:sp macro="" textlink="">
      <xdr:nvSpPr>
        <xdr:cNvPr id="583" name="AutoShape 3" descr="https://medya-cdn.tjk.org/imageftp/Img/e1.gif">
          <a:extLst>
            <a:ext uri="{FF2B5EF4-FFF2-40B4-BE49-F238E27FC236}">
              <a16:creationId xmlns:a16="http://schemas.microsoft.com/office/drawing/2014/main" id="{B6D0269E-2DF5-3645-8782-2436E1F0A03B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228979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2465054"/>
    <xdr:sp macro="" textlink="">
      <xdr:nvSpPr>
        <xdr:cNvPr id="584" name="AutoShape 3" descr="https://medya-cdn.tjk.org/imageftp/Img/e1.gif">
          <a:extLst>
            <a:ext uri="{FF2B5EF4-FFF2-40B4-BE49-F238E27FC236}">
              <a16:creationId xmlns:a16="http://schemas.microsoft.com/office/drawing/2014/main" id="{21E6533B-8698-DC42-8E85-5B38CD96D6CA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246505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2289794"/>
    <xdr:sp macro="" textlink="">
      <xdr:nvSpPr>
        <xdr:cNvPr id="585" name="AutoShape 3" descr="https://medya-cdn.tjk.org/imageftp/Img/e1.gif">
          <a:extLst>
            <a:ext uri="{FF2B5EF4-FFF2-40B4-BE49-F238E27FC236}">
              <a16:creationId xmlns:a16="http://schemas.microsoft.com/office/drawing/2014/main" id="{6771E19D-B8D7-DD4A-BDF9-EC53E26914F7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3736000"/>
          <a:ext cx="304800" cy="2289794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886020"/>
    <xdr:sp macro="" textlink="">
      <xdr:nvSpPr>
        <xdr:cNvPr id="586" name="AutoShape 3" descr="https://medya-cdn.tjk.org/imageftp/Img/e1.gif">
          <a:extLst>
            <a:ext uri="{FF2B5EF4-FFF2-40B4-BE49-F238E27FC236}">
              <a16:creationId xmlns:a16="http://schemas.microsoft.com/office/drawing/2014/main" id="{2D69DCE3-3B4E-6348-B24A-9215B605373F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4256700"/>
          <a:ext cx="304800" cy="886020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1916133"/>
    <xdr:sp macro="" textlink="">
      <xdr:nvSpPr>
        <xdr:cNvPr id="587" name="AutoShape 3" descr="https://medya-cdn.tjk.org/imageftp/Img/e1.gif">
          <a:extLst>
            <a:ext uri="{FF2B5EF4-FFF2-40B4-BE49-F238E27FC236}">
              <a16:creationId xmlns:a16="http://schemas.microsoft.com/office/drawing/2014/main" id="{65534B53-35AE-C745-9C88-9D588462AD95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6441100"/>
          <a:ext cx="304800" cy="191613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928352"/>
    <xdr:sp macro="" textlink="">
      <xdr:nvSpPr>
        <xdr:cNvPr id="588" name="AutoShape 3" descr="https://medya-cdn.tjk.org/imageftp/Img/e1.gif">
          <a:extLst>
            <a:ext uri="{FF2B5EF4-FFF2-40B4-BE49-F238E27FC236}">
              <a16:creationId xmlns:a16="http://schemas.microsoft.com/office/drawing/2014/main" id="{86F5533A-0DD0-4D4D-ADBC-0461EF651002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6961800"/>
          <a:ext cx="304800" cy="928352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89" name="Picture 14" descr="https://medya-cdn.tjk.org/imageftp/Img/e1.gif">
          <a:extLst>
            <a:ext uri="{FF2B5EF4-FFF2-40B4-BE49-F238E27FC236}">
              <a16:creationId xmlns:a16="http://schemas.microsoft.com/office/drawing/2014/main" id="{09496180-9CAF-9A41-989E-C4763AE6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772158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198120" cy="144780"/>
    <xdr:pic>
      <xdr:nvPicPr>
        <xdr:cNvPr id="590" name="Picture 15" descr="https://medya-cdn.tjk.org/imageftp/Img/e1.gif">
          <a:extLst>
            <a:ext uri="{FF2B5EF4-FFF2-40B4-BE49-F238E27FC236}">
              <a16:creationId xmlns:a16="http://schemas.microsoft.com/office/drawing/2014/main" id="{079E729D-6D85-8C40-A746-ED0E6D65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66900" y="177698400"/>
          <a:ext cx="198120" cy="144780"/>
        </a:xfrm>
        <a:prstGeom prst="rect">
          <a:avLst/>
        </a:prstGeom>
        <a:noFill/>
      </xdr:spPr>
    </xdr:pic>
    <xdr:clientData/>
  </xdr:oneCellAnchor>
  <xdr:oneCellAnchor>
    <xdr:from>
      <xdr:col>54</xdr:col>
      <xdr:colOff>0</xdr:colOff>
      <xdr:row>77</xdr:row>
      <xdr:rowOff>0</xdr:rowOff>
    </xdr:from>
    <xdr:ext cx="304800" cy="928353"/>
    <xdr:sp macro="" textlink="">
      <xdr:nvSpPr>
        <xdr:cNvPr id="591" name="AutoShape 3" descr="https://medya-cdn.tjk.org/imageftp/Img/e1.gif">
          <a:extLst>
            <a:ext uri="{FF2B5EF4-FFF2-40B4-BE49-F238E27FC236}">
              <a16:creationId xmlns:a16="http://schemas.microsoft.com/office/drawing/2014/main" id="{998D4BC3-8C47-8240-B1D6-0D3FA036EAC7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79425600"/>
          <a:ext cx="304800" cy="92835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928353"/>
    <xdr:sp macro="" textlink="">
      <xdr:nvSpPr>
        <xdr:cNvPr id="592" name="AutoShape 3" descr="https://medya-cdn.tjk.org/imageftp/Img/e1.gif">
          <a:extLst>
            <a:ext uri="{FF2B5EF4-FFF2-40B4-BE49-F238E27FC236}">
              <a16:creationId xmlns:a16="http://schemas.microsoft.com/office/drawing/2014/main" id="{F98FCC49-1D26-4346-A19B-4648025F8530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82613300"/>
          <a:ext cx="304800" cy="928353"/>
        </a:xfrm>
        <a:prstGeom prst="rect">
          <a:avLst/>
        </a:prstGeom>
        <a:noFill/>
      </xdr:spPr>
    </xdr:sp>
    <xdr:clientData/>
  </xdr:oneCellAnchor>
  <xdr:oneCellAnchor>
    <xdr:from>
      <xdr:col>54</xdr:col>
      <xdr:colOff>0</xdr:colOff>
      <xdr:row>77</xdr:row>
      <xdr:rowOff>0</xdr:rowOff>
    </xdr:from>
    <xdr:ext cx="304800" cy="928354"/>
    <xdr:sp macro="" textlink="">
      <xdr:nvSpPr>
        <xdr:cNvPr id="593" name="AutoShape 3" descr="https://medya-cdn.tjk.org/imageftp/Img/e1.gif">
          <a:extLst>
            <a:ext uri="{FF2B5EF4-FFF2-40B4-BE49-F238E27FC236}">
              <a16:creationId xmlns:a16="http://schemas.microsoft.com/office/drawing/2014/main" id="{608B1DD1-B62F-BF4B-9EB0-AA16327C933D}"/>
            </a:ext>
          </a:extLst>
        </xdr:cNvPr>
        <xdr:cNvSpPr>
          <a:spLocks noChangeAspect="1" noChangeArrowheads="1"/>
        </xdr:cNvSpPr>
      </xdr:nvSpPr>
      <xdr:spPr bwMode="auto">
        <a:xfrm>
          <a:off x="39966900" y="185318400"/>
          <a:ext cx="304800" cy="928354"/>
        </a:xfrm>
        <a:prstGeom prst="rect">
          <a:avLst/>
        </a:prstGeom>
        <a:noFill/>
      </xdr:spPr>
    </xdr:sp>
    <xdr:clientData/>
  </xdr:one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82</xdr:row>
      <xdr:rowOff>13955</xdr:rowOff>
    </xdr:to>
    <xdr:sp macro="" textlink="">
      <xdr:nvSpPr>
        <xdr:cNvPr id="594" name="AutoShape 3" descr="https://medya-cdn.tjk.org/imageftp/Img/e1.gif">
          <a:extLst>
            <a:ext uri="{FF2B5EF4-FFF2-40B4-BE49-F238E27FC236}">
              <a16:creationId xmlns:a16="http://schemas.microsoft.com/office/drawing/2014/main" id="{AA3EF5A9-8EE7-4A41-8C60-A1F41A3B0E94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6626500"/>
          <a:ext cx="304800" cy="12204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82</xdr:row>
      <xdr:rowOff>153655</xdr:rowOff>
    </xdr:to>
    <xdr:sp macro="" textlink="">
      <xdr:nvSpPr>
        <xdr:cNvPr id="595" name="AutoShape 3" descr="https://medya-cdn.tjk.org/imageftp/Img/e1.gif">
          <a:extLst>
            <a:ext uri="{FF2B5EF4-FFF2-40B4-BE49-F238E27FC236}">
              <a16:creationId xmlns:a16="http://schemas.microsoft.com/office/drawing/2014/main" id="{FADF4544-D457-EC43-A41E-81079B84D0BF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6626500"/>
          <a:ext cx="304800" cy="136015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96" name="Resim 595">
          <a:extLst>
            <a:ext uri="{FF2B5EF4-FFF2-40B4-BE49-F238E27FC236}">
              <a16:creationId xmlns:a16="http://schemas.microsoft.com/office/drawing/2014/main" id="{04BA6C7E-C816-8641-946E-0150F42AB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0042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97" name="Resim 596">
          <a:extLst>
            <a:ext uri="{FF2B5EF4-FFF2-40B4-BE49-F238E27FC236}">
              <a16:creationId xmlns:a16="http://schemas.microsoft.com/office/drawing/2014/main" id="{C18F9D4C-ECBA-DF4F-870C-05151EDA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02841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98" name="Resim 597">
          <a:extLst>
            <a:ext uri="{FF2B5EF4-FFF2-40B4-BE49-F238E27FC236}">
              <a16:creationId xmlns:a16="http://schemas.microsoft.com/office/drawing/2014/main" id="{6A478C9F-477F-D24F-9064-FB16932C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1757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99" name="Resim 598">
          <a:extLst>
            <a:ext uri="{FF2B5EF4-FFF2-40B4-BE49-F238E27FC236}">
              <a16:creationId xmlns:a16="http://schemas.microsoft.com/office/drawing/2014/main" id="{948C4D55-DA37-3241-A78D-7E0345AE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3929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600" name="Resim 599">
          <a:extLst>
            <a:ext uri="{FF2B5EF4-FFF2-40B4-BE49-F238E27FC236}">
              <a16:creationId xmlns:a16="http://schemas.microsoft.com/office/drawing/2014/main" id="{DC45F9B7-464E-9849-96F3-77B31825A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63674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601" name="Resim 600">
          <a:extLst>
            <a:ext uri="{FF2B5EF4-FFF2-40B4-BE49-F238E27FC236}">
              <a16:creationId xmlns:a16="http://schemas.microsoft.com/office/drawing/2014/main" id="{555F1204-19E0-4045-AA0D-D3AA92342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6850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77</xdr:row>
      <xdr:rowOff>0</xdr:rowOff>
    </xdr:from>
    <xdr:ext cx="266700" cy="190500"/>
    <xdr:pic>
      <xdr:nvPicPr>
        <xdr:cNvPr id="604" name="Resim 603">
          <a:extLst>
            <a:ext uri="{FF2B5EF4-FFF2-40B4-BE49-F238E27FC236}">
              <a16:creationId xmlns:a16="http://schemas.microsoft.com/office/drawing/2014/main" id="{740926DA-C29F-3D44-A0E7-A407FCE0C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8310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</xdr:row>
      <xdr:rowOff>0</xdr:rowOff>
    </xdr:from>
    <xdr:ext cx="266700" cy="190500"/>
    <xdr:pic>
      <xdr:nvPicPr>
        <xdr:cNvPr id="605" name="Resim 604">
          <a:extLst>
            <a:ext uri="{FF2B5EF4-FFF2-40B4-BE49-F238E27FC236}">
              <a16:creationId xmlns:a16="http://schemas.microsoft.com/office/drawing/2014/main" id="{7A17B3F7-A04F-B144-AA62-E9223B93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98564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15" name="Resim 514">
          <a:extLst>
            <a:ext uri="{FF2B5EF4-FFF2-40B4-BE49-F238E27FC236}">
              <a16:creationId xmlns:a16="http://schemas.microsoft.com/office/drawing/2014/main" id="{CE9D0E1E-BACC-4641-A272-848C9541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700" y="2113534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16" name="Resim 515">
          <a:extLst>
            <a:ext uri="{FF2B5EF4-FFF2-40B4-BE49-F238E27FC236}">
              <a16:creationId xmlns:a16="http://schemas.microsoft.com/office/drawing/2014/main" id="{9FBDC48C-CBCB-F148-847B-B40F66F93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700" y="212077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34" name="Resim 533">
          <a:extLst>
            <a:ext uri="{FF2B5EF4-FFF2-40B4-BE49-F238E27FC236}">
              <a16:creationId xmlns:a16="http://schemas.microsoft.com/office/drawing/2014/main" id="{A96D2F7C-274C-914B-A295-22D7941D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225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35" name="Resim 534">
          <a:extLst>
            <a:ext uri="{FF2B5EF4-FFF2-40B4-BE49-F238E27FC236}">
              <a16:creationId xmlns:a16="http://schemas.microsoft.com/office/drawing/2014/main" id="{354FADAC-51E7-B340-8E9A-0449F374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4671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36" name="Resim 535">
          <a:extLst>
            <a:ext uri="{FF2B5EF4-FFF2-40B4-BE49-F238E27FC236}">
              <a16:creationId xmlns:a16="http://schemas.microsoft.com/office/drawing/2014/main" id="{BF89E76C-BF90-0D47-AECF-7563B8DE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0" y="225933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266700</xdr:colOff>
      <xdr:row>77</xdr:row>
      <xdr:rowOff>190500</xdr:rowOff>
    </xdr:to>
    <xdr:pic>
      <xdr:nvPicPr>
        <xdr:cNvPr id="537" name="Resim 536">
          <a:extLst>
            <a:ext uri="{FF2B5EF4-FFF2-40B4-BE49-F238E27FC236}">
              <a16:creationId xmlns:a16="http://schemas.microsoft.com/office/drawing/2014/main" id="{3F1DE73E-CFA5-B041-A7C5-F250F61F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0" y="226174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2" name="Picture 2" descr="https://medya-cdn.tjk.org/imageftp/Img/e1.gif">
          <a:extLst>
            <a:ext uri="{FF2B5EF4-FFF2-40B4-BE49-F238E27FC236}">
              <a16:creationId xmlns:a16="http://schemas.microsoft.com/office/drawing/2014/main" id="{0E2ACB9F-6892-6245-BFED-A03B7522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3" name="Picture 5" descr="https://medya-cdn.tjk.org/imageftp/Img/e1.gif">
          <a:extLst>
            <a:ext uri="{FF2B5EF4-FFF2-40B4-BE49-F238E27FC236}">
              <a16:creationId xmlns:a16="http://schemas.microsoft.com/office/drawing/2014/main" id="{D547AAA2-FB0B-A44F-AD3D-25119EE8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4" name="Picture 6" descr="https://medya-cdn.tjk.org/imageftp/Img/e1.gif">
          <a:extLst>
            <a:ext uri="{FF2B5EF4-FFF2-40B4-BE49-F238E27FC236}">
              <a16:creationId xmlns:a16="http://schemas.microsoft.com/office/drawing/2014/main" id="{6C9E1342-CBFE-DA43-B9C1-39445B99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491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5" name="Picture 7" descr="https://medya-cdn.tjk.org/imageftp/Img/e1.gif">
          <a:extLst>
            <a:ext uri="{FF2B5EF4-FFF2-40B4-BE49-F238E27FC236}">
              <a16:creationId xmlns:a16="http://schemas.microsoft.com/office/drawing/2014/main" id="{4D24E681-5D64-7049-AEFB-458AEF21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974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6" name="Picture 4" descr="https://medya-cdn.tjk.org/imageftp/Img/e1.gif">
          <a:extLst>
            <a:ext uri="{FF2B5EF4-FFF2-40B4-BE49-F238E27FC236}">
              <a16:creationId xmlns:a16="http://schemas.microsoft.com/office/drawing/2014/main" id="{741E795F-E1CC-9942-8986-E15A79997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7559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7" name="Picture 9" descr="https://medya-cdn.tjk.org/imageftp/Img/e1.gif">
          <a:extLst>
            <a:ext uri="{FF2B5EF4-FFF2-40B4-BE49-F238E27FC236}">
              <a16:creationId xmlns:a16="http://schemas.microsoft.com/office/drawing/2014/main" id="{E151CC86-1CD0-2A4E-A29A-1B93DDBE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30213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198120</xdr:colOff>
      <xdr:row>47</xdr:row>
      <xdr:rowOff>144780</xdr:rowOff>
    </xdr:to>
    <xdr:pic>
      <xdr:nvPicPr>
        <xdr:cNvPr id="8" name="Picture 2" descr="https://medya-cdn.tjk.org/imageftp/Img/e1.gif">
          <a:extLst>
            <a:ext uri="{FF2B5EF4-FFF2-40B4-BE49-F238E27FC236}">
              <a16:creationId xmlns:a16="http://schemas.microsoft.com/office/drawing/2014/main" id="{D5612E13-45EE-2143-82C3-7B8095A0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2839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9" name="Picture 5" descr="https://medya-cdn.tjk.org/imageftp/Img/e1.gif">
          <a:extLst>
            <a:ext uri="{FF2B5EF4-FFF2-40B4-BE49-F238E27FC236}">
              <a16:creationId xmlns:a16="http://schemas.microsoft.com/office/drawing/2014/main" id="{2B57725E-A952-C145-B41D-39D3AA97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10" name="Picture 2" descr="https://medya-cdn.tjk.org/imageftp/Img/e1.gif">
          <a:extLst>
            <a:ext uri="{FF2B5EF4-FFF2-40B4-BE49-F238E27FC236}">
              <a16:creationId xmlns:a16="http://schemas.microsoft.com/office/drawing/2014/main" id="{377933DA-2333-CF4B-930D-D778383BF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11" name="Picture 5" descr="https://medya-cdn.tjk.org/imageftp/Img/e1.gif">
          <a:extLst>
            <a:ext uri="{FF2B5EF4-FFF2-40B4-BE49-F238E27FC236}">
              <a16:creationId xmlns:a16="http://schemas.microsoft.com/office/drawing/2014/main" id="{0A34072F-913A-094A-B6A1-AD5B35DAA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12" name="Picture 2" descr="https://medya-cdn.tjk.org/imageftp/Img/e1.gif">
          <a:extLst>
            <a:ext uri="{FF2B5EF4-FFF2-40B4-BE49-F238E27FC236}">
              <a16:creationId xmlns:a16="http://schemas.microsoft.com/office/drawing/2014/main" id="{71FE895F-0A09-CF4C-8342-508F4EA1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13" name="Picture 5" descr="https://medya-cdn.tjk.org/imageftp/Img/e1.gif">
          <a:extLst>
            <a:ext uri="{FF2B5EF4-FFF2-40B4-BE49-F238E27FC236}">
              <a16:creationId xmlns:a16="http://schemas.microsoft.com/office/drawing/2014/main" id="{6A907454-509E-4942-9515-61A8AF477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14" name="Picture 2" descr="https://medya-cdn.tjk.org/imageftp/Img/e1.gif">
          <a:extLst>
            <a:ext uri="{FF2B5EF4-FFF2-40B4-BE49-F238E27FC236}">
              <a16:creationId xmlns:a16="http://schemas.microsoft.com/office/drawing/2014/main" id="{F42AD0F2-4B81-DF41-B9E2-B860C8FBC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198120</xdr:colOff>
      <xdr:row>49</xdr:row>
      <xdr:rowOff>144780</xdr:rowOff>
    </xdr:to>
    <xdr:pic>
      <xdr:nvPicPr>
        <xdr:cNvPr id="15" name="Picture 5" descr="https://medya-cdn.tjk.org/imageftp/Img/e1.gif">
          <a:extLst>
            <a:ext uri="{FF2B5EF4-FFF2-40B4-BE49-F238E27FC236}">
              <a16:creationId xmlns:a16="http://schemas.microsoft.com/office/drawing/2014/main" id="{FEFEFDF5-525A-CA48-982F-318290F95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3322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16" name="Picture 6" descr="https://medya-cdn.tjk.org/imageftp/Img/e1.gif">
          <a:extLst>
            <a:ext uri="{FF2B5EF4-FFF2-40B4-BE49-F238E27FC236}">
              <a16:creationId xmlns:a16="http://schemas.microsoft.com/office/drawing/2014/main" id="{32254FCD-0B82-A64D-8156-733D74F6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491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17" name="Picture 7" descr="https://medya-cdn.tjk.org/imageftp/Img/e1.gif">
          <a:extLst>
            <a:ext uri="{FF2B5EF4-FFF2-40B4-BE49-F238E27FC236}">
              <a16:creationId xmlns:a16="http://schemas.microsoft.com/office/drawing/2014/main" id="{BB0DFDEA-D7E6-9D48-85F4-7BB0B9E17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5146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18" name="Picture 4" descr="https://medya-cdn.tjk.org/imageftp/Img/e1.gif">
          <a:extLst>
            <a:ext uri="{FF2B5EF4-FFF2-40B4-BE49-F238E27FC236}">
              <a16:creationId xmlns:a16="http://schemas.microsoft.com/office/drawing/2014/main" id="{F642B061-9C79-1D42-BE88-A1C12477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9730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19" name="Picture 9" descr="https://medya-cdn.tjk.org/imageftp/Img/e1.gif">
          <a:extLst>
            <a:ext uri="{FF2B5EF4-FFF2-40B4-BE49-F238E27FC236}">
              <a16:creationId xmlns:a16="http://schemas.microsoft.com/office/drawing/2014/main" id="{9C23AF53-7C48-774C-8542-BC8113A8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32385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80</xdr:row>
      <xdr:rowOff>86783</xdr:rowOff>
    </xdr:to>
    <xdr:sp macro="" textlink="">
      <xdr:nvSpPr>
        <xdr:cNvPr id="20" name="AutoShape 3" descr="https://medya-cdn.tjk.org/imageftp/Img/e1.gif">
          <a:extLst>
            <a:ext uri="{FF2B5EF4-FFF2-40B4-BE49-F238E27FC236}">
              <a16:creationId xmlns:a16="http://schemas.microsoft.com/office/drawing/2014/main" id="{A9D87454-AA18-6744-8EE2-F07A51166B53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23355100"/>
          <a:ext cx="304800" cy="110278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79</xdr:row>
      <xdr:rowOff>102024</xdr:rowOff>
    </xdr:to>
    <xdr:sp macro="" textlink="">
      <xdr:nvSpPr>
        <xdr:cNvPr id="21" name="AutoShape 3" descr="https://medya-cdn.tjk.org/imageftp/Img/e1.gif">
          <a:extLst>
            <a:ext uri="{FF2B5EF4-FFF2-40B4-BE49-F238E27FC236}">
              <a16:creationId xmlns:a16="http://schemas.microsoft.com/office/drawing/2014/main" id="{4D499345-C4E2-AD4A-93D4-2FFF71D5D662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69545000"/>
          <a:ext cx="304800" cy="91482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100</xdr:row>
      <xdr:rowOff>109220</xdr:rowOff>
    </xdr:to>
    <xdr:sp macro="" textlink="">
      <xdr:nvSpPr>
        <xdr:cNvPr id="22" name="AutoShape 3" descr="https://medya-cdn.tjk.org/imageftp/Img/e1.gif">
          <a:extLst>
            <a:ext uri="{FF2B5EF4-FFF2-40B4-BE49-F238E27FC236}">
              <a16:creationId xmlns:a16="http://schemas.microsoft.com/office/drawing/2014/main" id="{8DB85179-397D-7F41-A31C-8710ED3FAA23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3659800"/>
          <a:ext cx="304800" cy="446532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125</xdr:row>
      <xdr:rowOff>32190</xdr:rowOff>
    </xdr:to>
    <xdr:sp macro="" textlink="">
      <xdr:nvSpPr>
        <xdr:cNvPr id="23" name="AutoShape 3" descr="https://medya-cdn.tjk.org/imageftp/Img/e1.gif">
          <a:extLst>
            <a:ext uri="{FF2B5EF4-FFF2-40B4-BE49-F238E27FC236}">
              <a16:creationId xmlns:a16="http://schemas.microsoft.com/office/drawing/2014/main" id="{77F49792-A53A-E449-B931-B3C47759EB03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5145700"/>
          <a:ext cx="304800" cy="889679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95</xdr:row>
      <xdr:rowOff>83821</xdr:rowOff>
    </xdr:to>
    <xdr:sp macro="" textlink="">
      <xdr:nvSpPr>
        <xdr:cNvPr id="24" name="AutoShape 3" descr="https://medya-cdn.tjk.org/imageftp/Img/e1.gif">
          <a:extLst>
            <a:ext uri="{FF2B5EF4-FFF2-40B4-BE49-F238E27FC236}">
              <a16:creationId xmlns:a16="http://schemas.microsoft.com/office/drawing/2014/main" id="{F5D7A6A3-F73C-0940-BBBB-ACE3A91BF8AA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031900"/>
          <a:ext cx="304800" cy="3423921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98</xdr:row>
      <xdr:rowOff>77454</xdr:rowOff>
    </xdr:to>
    <xdr:sp macro="" textlink="">
      <xdr:nvSpPr>
        <xdr:cNvPr id="25" name="AutoShape 3" descr="https://medya-cdn.tjk.org/imageftp/Img/e1.gif">
          <a:extLst>
            <a:ext uri="{FF2B5EF4-FFF2-40B4-BE49-F238E27FC236}">
              <a16:creationId xmlns:a16="http://schemas.microsoft.com/office/drawing/2014/main" id="{29F82634-2F70-774E-A40B-006C4FCA1761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6834800"/>
          <a:ext cx="304800" cy="40398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97</xdr:row>
      <xdr:rowOff>156194</xdr:rowOff>
    </xdr:to>
    <xdr:sp macro="" textlink="">
      <xdr:nvSpPr>
        <xdr:cNvPr id="26" name="AutoShape 3" descr="https://medya-cdn.tjk.org/imageftp/Img/e1.gif">
          <a:extLst>
            <a:ext uri="{FF2B5EF4-FFF2-40B4-BE49-F238E27FC236}">
              <a16:creationId xmlns:a16="http://schemas.microsoft.com/office/drawing/2014/main" id="{4558B274-26DD-1F48-91BD-432BE0ECC7F3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031900"/>
          <a:ext cx="304800" cy="386459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98</xdr:row>
      <xdr:rowOff>90154</xdr:rowOff>
    </xdr:to>
    <xdr:sp macro="" textlink="">
      <xdr:nvSpPr>
        <xdr:cNvPr id="27" name="AutoShape 3" descr="https://medya-cdn.tjk.org/imageftp/Img/e1.gif">
          <a:extLst>
            <a:ext uri="{FF2B5EF4-FFF2-40B4-BE49-F238E27FC236}">
              <a16:creationId xmlns:a16="http://schemas.microsoft.com/office/drawing/2014/main" id="{728CE8C8-02D4-6D47-AA02-FCD6A0EAF864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031900"/>
          <a:ext cx="304800" cy="40398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97</xdr:row>
      <xdr:rowOff>156194</xdr:rowOff>
    </xdr:to>
    <xdr:sp macro="" textlink="">
      <xdr:nvSpPr>
        <xdr:cNvPr id="28" name="AutoShape 3" descr="https://medya-cdn.tjk.org/imageftp/Img/e1.gif">
          <a:extLst>
            <a:ext uri="{FF2B5EF4-FFF2-40B4-BE49-F238E27FC236}">
              <a16:creationId xmlns:a16="http://schemas.microsoft.com/office/drawing/2014/main" id="{4AAABB06-423E-1949-ACFE-F8C7D5465A4F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031900"/>
          <a:ext cx="304800" cy="386459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81</xdr:row>
      <xdr:rowOff>124020</xdr:rowOff>
    </xdr:to>
    <xdr:sp macro="" textlink="">
      <xdr:nvSpPr>
        <xdr:cNvPr id="29" name="AutoShape 3" descr="https://medya-cdn.tjk.org/imageftp/Img/e1.gif">
          <a:extLst>
            <a:ext uri="{FF2B5EF4-FFF2-40B4-BE49-F238E27FC236}">
              <a16:creationId xmlns:a16="http://schemas.microsoft.com/office/drawing/2014/main" id="{F842E8F4-B2DC-2A4A-AB24-FC4F6C4056E0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7076100"/>
          <a:ext cx="304800" cy="98762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97</xdr:row>
      <xdr:rowOff>228444</xdr:rowOff>
    </xdr:to>
    <xdr:sp macro="" textlink="">
      <xdr:nvSpPr>
        <xdr:cNvPr id="30" name="AutoShape 3" descr="https://medya-cdn.tjk.org/imageftp/Img/e1.gif">
          <a:extLst>
            <a:ext uri="{FF2B5EF4-FFF2-40B4-BE49-F238E27FC236}">
              <a16:creationId xmlns:a16="http://schemas.microsoft.com/office/drawing/2014/main" id="{581B767D-2A1D-3D4A-84BA-91B7983CB62E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1470300"/>
          <a:ext cx="304800" cy="392414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81</xdr:row>
      <xdr:rowOff>204452</xdr:rowOff>
    </xdr:to>
    <xdr:sp macro="" textlink="">
      <xdr:nvSpPr>
        <xdr:cNvPr id="31" name="AutoShape 3" descr="https://medya-cdn.tjk.org/imageftp/Img/e1.gif">
          <a:extLst>
            <a:ext uri="{FF2B5EF4-FFF2-40B4-BE49-F238E27FC236}">
              <a16:creationId xmlns:a16="http://schemas.microsoft.com/office/drawing/2014/main" id="{24577C63-CF54-D144-A912-E612D6F8A79B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527200"/>
          <a:ext cx="304800" cy="122045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32" name="Picture 14" descr="https://medya-cdn.tjk.org/imageftp/Img/e1.gif">
          <a:extLst>
            <a:ext uri="{FF2B5EF4-FFF2-40B4-BE49-F238E27FC236}">
              <a16:creationId xmlns:a16="http://schemas.microsoft.com/office/drawing/2014/main" id="{57501E18-CE2A-1C4C-AB50-494F19D8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81952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33" name="Picture 15" descr="https://medya-cdn.tjk.org/imageftp/Img/e1.gif">
          <a:extLst>
            <a:ext uri="{FF2B5EF4-FFF2-40B4-BE49-F238E27FC236}">
              <a16:creationId xmlns:a16="http://schemas.microsoft.com/office/drawing/2014/main" id="{69D644C5-CBBE-1743-B855-58739058D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824609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80</xdr:row>
      <xdr:rowOff>179053</xdr:rowOff>
    </xdr:to>
    <xdr:sp macro="" textlink="">
      <xdr:nvSpPr>
        <xdr:cNvPr id="34" name="AutoShape 3" descr="https://medya-cdn.tjk.org/imageftp/Img/e1.gif">
          <a:extLst>
            <a:ext uri="{FF2B5EF4-FFF2-40B4-BE49-F238E27FC236}">
              <a16:creationId xmlns:a16="http://schemas.microsoft.com/office/drawing/2014/main" id="{18441945-FDA7-4A4D-A47C-3B8C86E6150C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3921400"/>
          <a:ext cx="304800" cy="99185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81</xdr:row>
      <xdr:rowOff>115553</xdr:rowOff>
    </xdr:to>
    <xdr:sp macro="" textlink="">
      <xdr:nvSpPr>
        <xdr:cNvPr id="35" name="AutoShape 3" descr="https://medya-cdn.tjk.org/imageftp/Img/e1.gif">
          <a:extLst>
            <a:ext uri="{FF2B5EF4-FFF2-40B4-BE49-F238E27FC236}">
              <a16:creationId xmlns:a16="http://schemas.microsoft.com/office/drawing/2014/main" id="{95DC1D6D-C01F-744A-87DB-A1756AEA8736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4645300"/>
          <a:ext cx="304800" cy="96645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80</xdr:row>
      <xdr:rowOff>229854</xdr:rowOff>
    </xdr:to>
    <xdr:sp macro="" textlink="">
      <xdr:nvSpPr>
        <xdr:cNvPr id="36" name="AutoShape 3" descr="https://medya-cdn.tjk.org/imageftp/Img/e1.gif">
          <a:extLst>
            <a:ext uri="{FF2B5EF4-FFF2-40B4-BE49-F238E27FC236}">
              <a16:creationId xmlns:a16="http://schemas.microsoft.com/office/drawing/2014/main" id="{11239E05-B143-284C-ACE8-7D454CC2DA27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7096400"/>
          <a:ext cx="304800" cy="12204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37" name="Picture 2" descr="https://medya-cdn.tjk.org/imageftp/Img/e1.gif">
          <a:extLst>
            <a:ext uri="{FF2B5EF4-FFF2-40B4-BE49-F238E27FC236}">
              <a16:creationId xmlns:a16="http://schemas.microsoft.com/office/drawing/2014/main" id="{A7A40824-558E-2542-906A-973D1530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38" name="Picture 5" descr="https://medya-cdn.tjk.org/imageftp/Img/e1.gif">
          <a:extLst>
            <a:ext uri="{FF2B5EF4-FFF2-40B4-BE49-F238E27FC236}">
              <a16:creationId xmlns:a16="http://schemas.microsoft.com/office/drawing/2014/main" id="{26AC4249-AA5F-CD43-9C04-C6188833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39" name="Picture 6" descr="https://medya-cdn.tjk.org/imageftp/Img/e1.gif">
          <a:extLst>
            <a:ext uri="{FF2B5EF4-FFF2-40B4-BE49-F238E27FC236}">
              <a16:creationId xmlns:a16="http://schemas.microsoft.com/office/drawing/2014/main" id="{85FE70E3-4048-5F47-A2FB-BCBCFCF5D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491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40" name="Picture 7" descr="https://medya-cdn.tjk.org/imageftp/Img/e1.gif">
          <a:extLst>
            <a:ext uri="{FF2B5EF4-FFF2-40B4-BE49-F238E27FC236}">
              <a16:creationId xmlns:a16="http://schemas.microsoft.com/office/drawing/2014/main" id="{3CEBF0BE-0FE1-1344-A091-73864ABA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974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41" name="Picture 4" descr="https://medya-cdn.tjk.org/imageftp/Img/e1.gif">
          <a:extLst>
            <a:ext uri="{FF2B5EF4-FFF2-40B4-BE49-F238E27FC236}">
              <a16:creationId xmlns:a16="http://schemas.microsoft.com/office/drawing/2014/main" id="{B509FD08-3FDA-8A48-93F5-DDE6261A4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7559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42" name="Picture 9" descr="https://medya-cdn.tjk.org/imageftp/Img/e1.gif">
          <a:extLst>
            <a:ext uri="{FF2B5EF4-FFF2-40B4-BE49-F238E27FC236}">
              <a16:creationId xmlns:a16="http://schemas.microsoft.com/office/drawing/2014/main" id="{2D59B4D0-5189-1546-A026-FD4F99E2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30213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43" name="Picture 2" descr="https://medya-cdn.tjk.org/imageftp/Img/e1.gif">
          <a:extLst>
            <a:ext uri="{FF2B5EF4-FFF2-40B4-BE49-F238E27FC236}">
              <a16:creationId xmlns:a16="http://schemas.microsoft.com/office/drawing/2014/main" id="{3717EC72-282E-8A46-9048-97624B75E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44" name="Picture 5" descr="https://medya-cdn.tjk.org/imageftp/Img/e1.gif">
          <a:extLst>
            <a:ext uri="{FF2B5EF4-FFF2-40B4-BE49-F238E27FC236}">
              <a16:creationId xmlns:a16="http://schemas.microsoft.com/office/drawing/2014/main" id="{D7B1ED75-C95D-A040-BDCC-E70155EE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45" name="Picture 2" descr="https://medya-cdn.tjk.org/imageftp/Img/e1.gif">
          <a:extLst>
            <a:ext uri="{FF2B5EF4-FFF2-40B4-BE49-F238E27FC236}">
              <a16:creationId xmlns:a16="http://schemas.microsoft.com/office/drawing/2014/main" id="{DE6B3D38-9E70-2049-BC05-EF1E90F7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46" name="Picture 5" descr="https://medya-cdn.tjk.org/imageftp/Img/e1.gif">
          <a:extLst>
            <a:ext uri="{FF2B5EF4-FFF2-40B4-BE49-F238E27FC236}">
              <a16:creationId xmlns:a16="http://schemas.microsoft.com/office/drawing/2014/main" id="{0AB2D9A7-8463-C049-AA44-93010D40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47" name="Picture 2" descr="https://medya-cdn.tjk.org/imageftp/Img/e1.gif">
          <a:extLst>
            <a:ext uri="{FF2B5EF4-FFF2-40B4-BE49-F238E27FC236}">
              <a16:creationId xmlns:a16="http://schemas.microsoft.com/office/drawing/2014/main" id="{0ADB6AC8-4378-D949-8081-6846A35C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48" name="Picture 5" descr="https://medya-cdn.tjk.org/imageftp/Img/e1.gif">
          <a:extLst>
            <a:ext uri="{FF2B5EF4-FFF2-40B4-BE49-F238E27FC236}">
              <a16:creationId xmlns:a16="http://schemas.microsoft.com/office/drawing/2014/main" id="{92C71E78-2405-EC4B-A8C7-83B29FD7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198120</xdr:colOff>
      <xdr:row>38</xdr:row>
      <xdr:rowOff>144780</xdr:rowOff>
    </xdr:to>
    <xdr:pic>
      <xdr:nvPicPr>
        <xdr:cNvPr id="49" name="Picture 2" descr="https://medya-cdn.tjk.org/imageftp/Img/e1.gif">
          <a:extLst>
            <a:ext uri="{FF2B5EF4-FFF2-40B4-BE49-F238E27FC236}">
              <a16:creationId xmlns:a16="http://schemas.microsoft.com/office/drawing/2014/main" id="{2F099933-85C2-5A47-B6EF-107BFF4B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0668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198120</xdr:colOff>
      <xdr:row>40</xdr:row>
      <xdr:rowOff>144780</xdr:rowOff>
    </xdr:to>
    <xdr:pic>
      <xdr:nvPicPr>
        <xdr:cNvPr id="50" name="Picture 5" descr="https://medya-cdn.tjk.org/imageftp/Img/e1.gif">
          <a:extLst>
            <a:ext uri="{FF2B5EF4-FFF2-40B4-BE49-F238E27FC236}">
              <a16:creationId xmlns:a16="http://schemas.microsoft.com/office/drawing/2014/main" id="{0EB333C3-CE02-9C4E-B74D-78A334DA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11506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51" name="Picture 6" descr="https://medya-cdn.tjk.org/imageftp/Img/e1.gif">
          <a:extLst>
            <a:ext uri="{FF2B5EF4-FFF2-40B4-BE49-F238E27FC236}">
              <a16:creationId xmlns:a16="http://schemas.microsoft.com/office/drawing/2014/main" id="{E62A7C3E-EC56-A94F-AB2C-1F612362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24917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53" name="Picture 4" descr="https://medya-cdn.tjk.org/imageftp/Img/e1.gif">
          <a:extLst>
            <a:ext uri="{FF2B5EF4-FFF2-40B4-BE49-F238E27FC236}">
              <a16:creationId xmlns:a16="http://schemas.microsoft.com/office/drawing/2014/main" id="{0DF8841B-A6D0-F548-B075-993F20523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275590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54" name="Picture 9" descr="https://medya-cdn.tjk.org/imageftp/Img/e1.gif">
          <a:extLst>
            <a:ext uri="{FF2B5EF4-FFF2-40B4-BE49-F238E27FC236}">
              <a16:creationId xmlns:a16="http://schemas.microsoft.com/office/drawing/2014/main" id="{793F04BF-DAF1-1943-9597-B2DFFE001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302133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81</xdr:row>
      <xdr:rowOff>48683</xdr:rowOff>
    </xdr:to>
    <xdr:sp macro="" textlink="">
      <xdr:nvSpPr>
        <xdr:cNvPr id="55" name="AutoShape 3" descr="https://medya-cdn.tjk.org/imageftp/Img/e1.gif">
          <a:extLst>
            <a:ext uri="{FF2B5EF4-FFF2-40B4-BE49-F238E27FC236}">
              <a16:creationId xmlns:a16="http://schemas.microsoft.com/office/drawing/2014/main" id="{649B8739-F747-454A-80B5-C72E5A1CFC10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21183400"/>
          <a:ext cx="304800" cy="126788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80</xdr:row>
      <xdr:rowOff>102024</xdr:rowOff>
    </xdr:to>
    <xdr:sp macro="" textlink="">
      <xdr:nvSpPr>
        <xdr:cNvPr id="56" name="AutoShape 3" descr="https://medya-cdn.tjk.org/imageftp/Img/e1.gif">
          <a:extLst>
            <a:ext uri="{FF2B5EF4-FFF2-40B4-BE49-F238E27FC236}">
              <a16:creationId xmlns:a16="http://schemas.microsoft.com/office/drawing/2014/main" id="{3A6DC3FA-4C83-6A44-B2C8-6D09D0D27E08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69545000"/>
          <a:ext cx="304800" cy="111802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107</xdr:row>
      <xdr:rowOff>83820</xdr:rowOff>
    </xdr:to>
    <xdr:sp macro="" textlink="">
      <xdr:nvSpPr>
        <xdr:cNvPr id="57" name="AutoShape 3" descr="https://medya-cdn.tjk.org/imageftp/Img/e1.gif">
          <a:extLst>
            <a:ext uri="{FF2B5EF4-FFF2-40B4-BE49-F238E27FC236}">
              <a16:creationId xmlns:a16="http://schemas.microsoft.com/office/drawing/2014/main" id="{FC156A1A-3FA3-1146-9805-AA1D060171D0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1475400"/>
          <a:ext cx="304800" cy="584962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138</xdr:row>
      <xdr:rowOff>146490</xdr:rowOff>
    </xdr:to>
    <xdr:sp macro="" textlink="">
      <xdr:nvSpPr>
        <xdr:cNvPr id="58" name="AutoShape 3" descr="https://medya-cdn.tjk.org/imageftp/Img/e1.gif">
          <a:extLst>
            <a:ext uri="{FF2B5EF4-FFF2-40B4-BE49-F238E27FC236}">
              <a16:creationId xmlns:a16="http://schemas.microsoft.com/office/drawing/2014/main" id="{CA372BDB-9D45-7C43-BE2D-C53D66691F84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5145700"/>
          <a:ext cx="304800" cy="1158919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100</xdr:row>
      <xdr:rowOff>210821</xdr:rowOff>
    </xdr:to>
    <xdr:sp macro="" textlink="">
      <xdr:nvSpPr>
        <xdr:cNvPr id="59" name="AutoShape 3" descr="https://medya-cdn.tjk.org/imageftp/Img/e1.gif">
          <a:extLst>
            <a:ext uri="{FF2B5EF4-FFF2-40B4-BE49-F238E27FC236}">
              <a16:creationId xmlns:a16="http://schemas.microsoft.com/office/drawing/2014/main" id="{5E53002D-7D0A-9A4F-BF81-5578CDCD5FCD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6834800"/>
          <a:ext cx="304800" cy="4541521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108</xdr:row>
      <xdr:rowOff>1254</xdr:rowOff>
    </xdr:to>
    <xdr:sp macro="" textlink="">
      <xdr:nvSpPr>
        <xdr:cNvPr id="60" name="AutoShape 3" descr="https://medya-cdn.tjk.org/imageftp/Img/e1.gif">
          <a:extLst>
            <a:ext uri="{FF2B5EF4-FFF2-40B4-BE49-F238E27FC236}">
              <a16:creationId xmlns:a16="http://schemas.microsoft.com/office/drawing/2014/main" id="{78B142BE-D11E-4048-B358-4E04288525E9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6834800"/>
          <a:ext cx="304800" cy="56273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107</xdr:row>
      <xdr:rowOff>130794</xdr:rowOff>
    </xdr:to>
    <xdr:sp macro="" textlink="">
      <xdr:nvSpPr>
        <xdr:cNvPr id="61" name="AutoShape 3" descr="https://medya-cdn.tjk.org/imageftp/Img/e1.gif">
          <a:extLst>
            <a:ext uri="{FF2B5EF4-FFF2-40B4-BE49-F238E27FC236}">
              <a16:creationId xmlns:a16="http://schemas.microsoft.com/office/drawing/2014/main" id="{6E43CEF8-131F-8946-AC21-F4EED84DCC41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6834800"/>
          <a:ext cx="304800" cy="551559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108</xdr:row>
      <xdr:rowOff>1254</xdr:rowOff>
    </xdr:to>
    <xdr:sp macro="" textlink="">
      <xdr:nvSpPr>
        <xdr:cNvPr id="62" name="AutoShape 3" descr="https://medya-cdn.tjk.org/imageftp/Img/e1.gif">
          <a:extLst>
            <a:ext uri="{FF2B5EF4-FFF2-40B4-BE49-F238E27FC236}">
              <a16:creationId xmlns:a16="http://schemas.microsoft.com/office/drawing/2014/main" id="{BAED058B-964B-5D47-8969-FB3B218A5F79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6834800"/>
          <a:ext cx="304800" cy="56273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98</xdr:row>
      <xdr:rowOff>61933</xdr:rowOff>
    </xdr:to>
    <xdr:sp macro="" textlink="">
      <xdr:nvSpPr>
        <xdr:cNvPr id="65" name="AutoShape 3" descr="https://medya-cdn.tjk.org/imageftp/Img/e1.gif">
          <a:extLst>
            <a:ext uri="{FF2B5EF4-FFF2-40B4-BE49-F238E27FC236}">
              <a16:creationId xmlns:a16="http://schemas.microsoft.com/office/drawing/2014/main" id="{A472E17A-B0FB-B243-8764-12B90B59D73D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273200"/>
          <a:ext cx="304800" cy="401163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82</xdr:row>
      <xdr:rowOff>102852</xdr:rowOff>
    </xdr:to>
    <xdr:sp macro="" textlink="">
      <xdr:nvSpPr>
        <xdr:cNvPr id="66" name="AutoShape 3" descr="https://medya-cdn.tjk.org/imageftp/Img/e1.gif">
          <a:extLst>
            <a:ext uri="{FF2B5EF4-FFF2-40B4-BE49-F238E27FC236}">
              <a16:creationId xmlns:a16="http://schemas.microsoft.com/office/drawing/2014/main" id="{DF814CA1-D5F0-E84C-B9E2-CA67425BD9DC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79527200"/>
          <a:ext cx="304800" cy="136015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67" name="Picture 14" descr="https://medya-cdn.tjk.org/imageftp/Img/e1.gif">
          <a:extLst>
            <a:ext uri="{FF2B5EF4-FFF2-40B4-BE49-F238E27FC236}">
              <a16:creationId xmlns:a16="http://schemas.microsoft.com/office/drawing/2014/main" id="{3FB1477B-3FFC-3D46-95F9-E66100A28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797812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198120</xdr:colOff>
      <xdr:row>75</xdr:row>
      <xdr:rowOff>144780</xdr:rowOff>
    </xdr:to>
    <xdr:pic>
      <xdr:nvPicPr>
        <xdr:cNvPr id="68" name="Picture 15" descr="https://medya-cdn.tjk.org/imageftp/Img/e1.gif">
          <a:extLst>
            <a:ext uri="{FF2B5EF4-FFF2-40B4-BE49-F238E27FC236}">
              <a16:creationId xmlns:a16="http://schemas.microsoft.com/office/drawing/2014/main" id="{54E1CEFA-47B4-7B45-8925-732A752D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97200" y="180263800"/>
          <a:ext cx="198120" cy="1447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82</xdr:row>
      <xdr:rowOff>52053</xdr:rowOff>
    </xdr:to>
    <xdr:sp macro="" textlink="">
      <xdr:nvSpPr>
        <xdr:cNvPr id="69" name="AutoShape 3" descr="https://medya-cdn.tjk.org/imageftp/Img/e1.gif">
          <a:extLst>
            <a:ext uri="{FF2B5EF4-FFF2-40B4-BE49-F238E27FC236}">
              <a16:creationId xmlns:a16="http://schemas.microsoft.com/office/drawing/2014/main" id="{2D6039A4-EBA3-DD40-81F1-46EE5A8B0658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1711600"/>
          <a:ext cx="304800" cy="110615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82</xdr:row>
      <xdr:rowOff>52053</xdr:rowOff>
    </xdr:to>
    <xdr:sp macro="" textlink="">
      <xdr:nvSpPr>
        <xdr:cNvPr id="70" name="AutoShape 3" descr="https://medya-cdn.tjk.org/imageftp/Img/e1.gif">
          <a:extLst>
            <a:ext uri="{FF2B5EF4-FFF2-40B4-BE49-F238E27FC236}">
              <a16:creationId xmlns:a16="http://schemas.microsoft.com/office/drawing/2014/main" id="{DDE055CF-23D5-384F-8E5A-DA8E688DBF24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4645300"/>
          <a:ext cx="304800" cy="1106153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81</xdr:row>
      <xdr:rowOff>128254</xdr:rowOff>
    </xdr:to>
    <xdr:sp macro="" textlink="">
      <xdr:nvSpPr>
        <xdr:cNvPr id="71" name="AutoShape 3" descr="https://medya-cdn.tjk.org/imageftp/Img/e1.gif">
          <a:extLst>
            <a:ext uri="{FF2B5EF4-FFF2-40B4-BE49-F238E27FC236}">
              <a16:creationId xmlns:a16="http://schemas.microsoft.com/office/drawing/2014/main" id="{4BDD7468-0934-3944-AE71-08CC887DC47C}"/>
            </a:ext>
          </a:extLst>
        </xdr:cNvPr>
        <xdr:cNvSpPr>
          <a:spLocks noChangeAspect="1" noChangeArrowheads="1"/>
        </xdr:cNvSpPr>
      </xdr:nvSpPr>
      <xdr:spPr bwMode="auto">
        <a:xfrm>
          <a:off x="2997200" y="187096400"/>
          <a:ext cx="304800" cy="1360154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75D497CA-C80D-0A41-9C89-1AAEFB65A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0447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C3997A9E-03A8-1F45-B4DB-BAE23681B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286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2" name="Resim 71">
          <a:extLst>
            <a:ext uri="{FF2B5EF4-FFF2-40B4-BE49-F238E27FC236}">
              <a16:creationId xmlns:a16="http://schemas.microsoft.com/office/drawing/2014/main" id="{6620C6A1-A22D-D344-8B9D-88C8E200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1320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8750937C-798F-054E-8C2B-D9FCAF44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492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4" name="Resim 73">
          <a:extLst>
            <a:ext uri="{FF2B5EF4-FFF2-40B4-BE49-F238E27FC236}">
              <a16:creationId xmlns:a16="http://schemas.microsoft.com/office/drawing/2014/main" id="{F4665DE7-8DE5-6745-B6F1-5AA748FE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527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13ACA367-D1A8-8845-AA67-7E6AA540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0099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75</xdr:row>
      <xdr:rowOff>0</xdr:rowOff>
    </xdr:from>
    <xdr:ext cx="266700" cy="190500"/>
    <xdr:pic>
      <xdr:nvPicPr>
        <xdr:cNvPr id="76" name="Resim 75">
          <a:extLst>
            <a:ext uri="{FF2B5EF4-FFF2-40B4-BE49-F238E27FC236}">
              <a16:creationId xmlns:a16="http://schemas.microsoft.com/office/drawing/2014/main" id="{9FA10FBF-3196-7643-92B8-7CFD3BB2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1066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266700" cy="190500"/>
    <xdr:pic>
      <xdr:nvPicPr>
        <xdr:cNvPr id="77" name="Resim 76">
          <a:extLst>
            <a:ext uri="{FF2B5EF4-FFF2-40B4-BE49-F238E27FC236}">
              <a16:creationId xmlns:a16="http://schemas.microsoft.com/office/drawing/2014/main" id="{E509C763-A7BD-3549-8AEE-68D1A0949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1320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8" name="Resim 77">
          <a:extLst>
            <a:ext uri="{FF2B5EF4-FFF2-40B4-BE49-F238E27FC236}">
              <a16:creationId xmlns:a16="http://schemas.microsoft.com/office/drawing/2014/main" id="{50EE5C18-4097-764F-82DF-502CAF09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18034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AFAFD034-741E-6D40-932D-3470D54B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527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E342A8DF-858B-3E4D-BDD0-AABD4D55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225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30DC9BD8-2F84-0443-9318-870838A1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34671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82" name="Resim 81">
          <a:extLst>
            <a:ext uri="{FF2B5EF4-FFF2-40B4-BE49-F238E27FC236}">
              <a16:creationId xmlns:a16="http://schemas.microsoft.com/office/drawing/2014/main" id="{AEB7E12C-8E5C-4349-ADCD-B9F975AA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019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266700</xdr:colOff>
      <xdr:row>75</xdr:row>
      <xdr:rowOff>190500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CAAF2CA2-E989-BC40-B218-0CA31E25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22606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A67D-B8E1-2146-92C5-456EE641FC9D}">
  <sheetPr>
    <tabColor rgb="FFFF0000"/>
  </sheetPr>
  <dimension ref="A1:BG77"/>
  <sheetViews>
    <sheetView zoomScale="75" zoomScaleNormal="90" workbookViewId="0">
      <pane xSplit="6" ySplit="4" topLeftCell="AP5" activePane="bottomRight" state="frozenSplit"/>
      <selection pane="bottomRight" activeCell="AX8" sqref="AX8"/>
      <selection pane="bottomLeft" activeCell="A14" sqref="A14"/>
      <selection pane="topRight" activeCell="N1" sqref="N1"/>
    </sheetView>
  </sheetViews>
  <sheetFormatPr defaultColWidth="8.875" defaultRowHeight="18.95"/>
  <cols>
    <col min="1" max="1" width="6.625" style="1" customWidth="1"/>
    <col min="2" max="2" width="19.375" style="1" customWidth="1"/>
    <col min="3" max="3" width="11.375" style="2" bestFit="1" customWidth="1"/>
    <col min="4" max="4" width="12.125" style="3" bestFit="1" customWidth="1"/>
    <col min="5" max="5" width="22" style="3" bestFit="1" customWidth="1"/>
    <col min="6" max="6" width="17.5" style="3" bestFit="1" customWidth="1"/>
    <col min="7" max="7" width="9.625" style="3" customWidth="1"/>
    <col min="8" max="11" width="5.125" style="3" customWidth="1"/>
    <col min="12" max="12" width="9" style="3" customWidth="1"/>
    <col min="13" max="16" width="5.125" style="3" customWidth="1"/>
    <col min="17" max="17" width="10.5" style="3" customWidth="1"/>
    <col min="18" max="21" width="6.375" style="3" bestFit="1" customWidth="1"/>
    <col min="22" max="22" width="10.5" style="3" customWidth="1"/>
    <col min="23" max="26" width="5.125" style="3" customWidth="1"/>
    <col min="27" max="27" width="9.5" style="3" customWidth="1"/>
    <col min="28" max="30" width="6.375" style="3" bestFit="1" customWidth="1"/>
    <col min="31" max="31" width="7" style="3" customWidth="1"/>
    <col min="32" max="32" width="21" style="4" customWidth="1"/>
    <col min="33" max="33" width="19.125" style="4" bestFit="1" customWidth="1"/>
    <col min="34" max="34" width="17.375" style="5" bestFit="1" customWidth="1"/>
    <col min="35" max="35" width="18.5" style="4" bestFit="1" customWidth="1"/>
    <col min="36" max="36" width="29" style="4" bestFit="1" customWidth="1"/>
    <col min="37" max="37" width="20.125" style="4" bestFit="1" customWidth="1"/>
    <col min="38" max="38" width="18.875" style="4" bestFit="1" customWidth="1"/>
    <col min="39" max="39" width="18.125" style="8" bestFit="1" customWidth="1"/>
    <col min="40" max="40" width="5.5" style="60" customWidth="1"/>
    <col min="41" max="43" width="8.875" style="8"/>
    <col min="44" max="44" width="12" style="8" customWidth="1"/>
    <col min="45" max="45" width="16.875" style="8" customWidth="1"/>
    <col min="46" max="46" width="12.625" style="8" customWidth="1"/>
    <col min="47" max="48" width="8.875" style="8"/>
    <col min="49" max="49" width="14.375" style="90" customWidth="1"/>
    <col min="50" max="50" width="8.375" style="9" bestFit="1" customWidth="1"/>
    <col min="51" max="52" width="8.875" style="1"/>
    <col min="53" max="53" width="9.875" style="8" customWidth="1"/>
    <col min="54" max="54" width="10.875" style="8" customWidth="1"/>
    <col min="55" max="16384" width="8.875" style="1"/>
  </cols>
  <sheetData>
    <row r="1" spans="1:59">
      <c r="AP1" s="4"/>
      <c r="AQ1" s="4"/>
      <c r="AR1" s="6"/>
      <c r="AS1" s="7"/>
      <c r="AT1" s="7"/>
      <c r="AU1" s="7"/>
      <c r="AV1" s="7"/>
      <c r="AY1" s="138" t="s">
        <v>0</v>
      </c>
      <c r="AZ1" s="138"/>
    </row>
    <row r="2" spans="1:59" s="10" customFormat="1" ht="21" customHeight="1">
      <c r="A2" s="137"/>
      <c r="B2" s="137"/>
      <c r="C2" s="137"/>
      <c r="D2" s="137"/>
      <c r="E2" s="137"/>
      <c r="F2" s="137"/>
      <c r="G2" s="142"/>
      <c r="H2" s="142"/>
      <c r="I2" s="142"/>
      <c r="J2" s="142"/>
      <c r="K2" s="142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28"/>
      <c r="AG2" s="126"/>
      <c r="AH2" s="126"/>
      <c r="AI2" s="126"/>
      <c r="AJ2" s="126"/>
      <c r="AK2" s="126"/>
      <c r="AL2" s="127"/>
      <c r="AM2" s="127"/>
      <c r="AN2" s="11"/>
      <c r="AO2" s="139" t="s">
        <v>1</v>
      </c>
      <c r="AP2" s="140"/>
      <c r="AQ2" s="140"/>
      <c r="AR2" s="140"/>
      <c r="AS2" s="140"/>
      <c r="AT2" s="140"/>
      <c r="AU2" s="140"/>
      <c r="AV2" s="141"/>
      <c r="AW2" s="91"/>
      <c r="AX2" s="12"/>
      <c r="AY2" s="138"/>
      <c r="AZ2" s="138"/>
      <c r="BA2" s="13"/>
      <c r="BB2" s="13"/>
      <c r="BC2"/>
      <c r="BD2" s="1"/>
      <c r="BE2"/>
      <c r="BF2" s="1"/>
      <c r="BG2" s="1"/>
    </row>
    <row r="3" spans="1:59" s="10" customFormat="1" ht="21" customHeight="1">
      <c r="A3" s="137"/>
      <c r="B3" s="137"/>
      <c r="C3" s="137"/>
      <c r="D3" s="137"/>
      <c r="E3" s="137"/>
      <c r="F3" s="137"/>
      <c r="G3" s="142" t="s">
        <v>2</v>
      </c>
      <c r="H3" s="142"/>
      <c r="I3" s="142"/>
      <c r="J3" s="142"/>
      <c r="K3" s="142"/>
      <c r="L3" s="142" t="s">
        <v>3</v>
      </c>
      <c r="M3" s="142"/>
      <c r="N3" s="142"/>
      <c r="O3" s="142"/>
      <c r="P3" s="142"/>
      <c r="Q3" s="142" t="s">
        <v>4</v>
      </c>
      <c r="R3" s="142"/>
      <c r="S3" s="142"/>
      <c r="T3" s="142"/>
      <c r="U3" s="142"/>
      <c r="V3" s="142" t="s">
        <v>5</v>
      </c>
      <c r="W3" s="142"/>
      <c r="X3" s="142"/>
      <c r="Y3" s="142"/>
      <c r="Z3" s="142"/>
      <c r="AA3" s="142" t="s">
        <v>6</v>
      </c>
      <c r="AB3" s="142"/>
      <c r="AC3" s="142"/>
      <c r="AD3" s="142"/>
      <c r="AE3" s="142"/>
      <c r="AF3" s="4">
        <v>0.3</v>
      </c>
      <c r="AG3" s="4">
        <v>0.15</v>
      </c>
      <c r="AH3" s="4"/>
      <c r="AI3" s="4"/>
      <c r="AJ3" s="4"/>
      <c r="AK3" s="4"/>
      <c r="AL3" s="4"/>
      <c r="AM3" s="4"/>
      <c r="AN3" s="15"/>
      <c r="AO3" s="119">
        <v>45</v>
      </c>
      <c r="AP3" s="120">
        <v>35</v>
      </c>
      <c r="AQ3" s="120">
        <v>8</v>
      </c>
      <c r="AR3" s="120">
        <v>6</v>
      </c>
      <c r="AS3" s="120">
        <v>2</v>
      </c>
      <c r="AT3" s="120">
        <v>5</v>
      </c>
      <c r="AU3" s="120">
        <v>5</v>
      </c>
      <c r="AV3" s="121">
        <v>10</v>
      </c>
      <c r="AW3" s="88"/>
      <c r="AX3" s="12"/>
      <c r="AY3" s="138"/>
      <c r="AZ3" s="138"/>
      <c r="BA3" s="16"/>
      <c r="BB3" s="16"/>
      <c r="BC3" s="14"/>
      <c r="BD3" s="14"/>
      <c r="BE3" s="14"/>
      <c r="BF3" s="137"/>
      <c r="BG3" s="137"/>
    </row>
    <row r="4" spans="1:59" s="28" customFormat="1" ht="21" customHeight="1">
      <c r="A4" s="17"/>
      <c r="B4" s="18" t="s">
        <v>7</v>
      </c>
      <c r="C4" s="19" t="s">
        <v>8</v>
      </c>
      <c r="D4" s="20" t="s">
        <v>9</v>
      </c>
      <c r="E4" s="20" t="s">
        <v>10</v>
      </c>
      <c r="F4" s="21" t="s">
        <v>11</v>
      </c>
      <c r="G4" s="22" t="s">
        <v>12</v>
      </c>
      <c r="H4" s="23" t="s">
        <v>13</v>
      </c>
      <c r="I4" s="23" t="s">
        <v>14</v>
      </c>
      <c r="J4" s="23" t="s">
        <v>15</v>
      </c>
      <c r="K4" s="23" t="s">
        <v>16</v>
      </c>
      <c r="L4" s="22" t="s">
        <v>12</v>
      </c>
      <c r="M4" s="23" t="s">
        <v>13</v>
      </c>
      <c r="N4" s="23" t="s">
        <v>14</v>
      </c>
      <c r="O4" s="23" t="s">
        <v>15</v>
      </c>
      <c r="P4" s="23" t="s">
        <v>16</v>
      </c>
      <c r="Q4" s="22" t="s">
        <v>12</v>
      </c>
      <c r="R4" s="23" t="s">
        <v>13</v>
      </c>
      <c r="S4" s="23" t="s">
        <v>14</v>
      </c>
      <c r="T4" s="23" t="s">
        <v>15</v>
      </c>
      <c r="U4" s="23" t="s">
        <v>16</v>
      </c>
      <c r="V4" s="22" t="s">
        <v>12</v>
      </c>
      <c r="W4" s="23" t="s">
        <v>13</v>
      </c>
      <c r="X4" s="23" t="s">
        <v>14</v>
      </c>
      <c r="Y4" s="23" t="s">
        <v>15</v>
      </c>
      <c r="Z4" s="23" t="s">
        <v>16</v>
      </c>
      <c r="AA4" s="22" t="s">
        <v>12</v>
      </c>
      <c r="AB4" s="23" t="s">
        <v>13</v>
      </c>
      <c r="AC4" s="23" t="s">
        <v>14</v>
      </c>
      <c r="AD4" s="23" t="s">
        <v>15</v>
      </c>
      <c r="AE4" s="23" t="s">
        <v>16</v>
      </c>
      <c r="AF4" s="24" t="s">
        <v>17</v>
      </c>
      <c r="AG4" s="24" t="s">
        <v>18</v>
      </c>
      <c r="AH4" s="24" t="s">
        <v>19</v>
      </c>
      <c r="AI4" s="24" t="s">
        <v>20</v>
      </c>
      <c r="AJ4" s="24" t="s">
        <v>21</v>
      </c>
      <c r="AK4" s="24" t="s">
        <v>22</v>
      </c>
      <c r="AL4" s="25" t="s">
        <v>23</v>
      </c>
      <c r="AM4" s="25" t="s">
        <v>24</v>
      </c>
      <c r="AN4" s="26"/>
      <c r="AO4" s="122" t="s">
        <v>25</v>
      </c>
      <c r="AP4" s="123" t="s">
        <v>26</v>
      </c>
      <c r="AQ4" s="123" t="s">
        <v>27</v>
      </c>
      <c r="AR4" s="123" t="s">
        <v>28</v>
      </c>
      <c r="AS4" s="123" t="s">
        <v>29</v>
      </c>
      <c r="AT4" s="123" t="s">
        <v>30</v>
      </c>
      <c r="AU4" s="124" t="s">
        <v>31</v>
      </c>
      <c r="AV4" s="125" t="s">
        <v>32</v>
      </c>
      <c r="AW4" s="59" t="s">
        <v>33</v>
      </c>
      <c r="AX4" s="27"/>
      <c r="AY4" s="138"/>
      <c r="AZ4" s="138"/>
      <c r="BB4" s="24"/>
      <c r="BC4"/>
      <c r="BD4"/>
      <c r="BE4"/>
      <c r="BF4"/>
      <c r="BG4"/>
    </row>
    <row r="5" spans="1:59" s="28" customFormat="1">
      <c r="A5" s="29"/>
      <c r="B5" s="30" t="s">
        <v>34</v>
      </c>
      <c r="C5" s="31">
        <v>1</v>
      </c>
      <c r="D5" s="14"/>
      <c r="E5" s="32"/>
      <c r="AF5" s="33"/>
      <c r="AG5" s="33"/>
      <c r="AH5" s="33"/>
      <c r="AI5" s="33"/>
      <c r="AJ5" s="33"/>
      <c r="AK5" s="33"/>
      <c r="AL5" s="34"/>
      <c r="AM5" s="34"/>
      <c r="AN5" s="35"/>
      <c r="AO5" s="34"/>
      <c r="AP5" s="34"/>
      <c r="AQ5" s="34"/>
      <c r="AR5" s="34"/>
      <c r="AS5" s="34"/>
      <c r="AT5" s="34"/>
      <c r="AU5" s="34"/>
      <c r="AV5" s="34"/>
      <c r="AW5" s="92"/>
      <c r="AX5" s="27"/>
      <c r="AY5" s="138"/>
      <c r="AZ5" s="138"/>
      <c r="BA5" s="36"/>
      <c r="BB5" s="36"/>
    </row>
    <row r="6" spans="1:59" s="28" customFormat="1" ht="21" customHeight="1">
      <c r="A6" s="37">
        <v>1</v>
      </c>
      <c r="B6" s="38" t="s">
        <v>35</v>
      </c>
      <c r="C6" s="39">
        <v>60</v>
      </c>
      <c r="D6" s="14">
        <v>212600</v>
      </c>
      <c r="E6" s="32">
        <f t="shared" ref="E6:E15" si="0">D6/F6</f>
        <v>23622.222222222223</v>
      </c>
      <c r="F6" s="14">
        <f>G6</f>
        <v>9</v>
      </c>
      <c r="G6" s="14">
        <v>9</v>
      </c>
      <c r="H6" s="14">
        <v>0</v>
      </c>
      <c r="I6" s="14">
        <v>1</v>
      </c>
      <c r="J6" s="14">
        <v>1</v>
      </c>
      <c r="K6" s="14">
        <v>2</v>
      </c>
      <c r="L6" s="28">
        <v>112</v>
      </c>
      <c r="M6" s="28">
        <v>9</v>
      </c>
      <c r="N6" s="28">
        <v>11</v>
      </c>
      <c r="O6" s="28">
        <v>12</v>
      </c>
      <c r="P6" s="28">
        <v>9</v>
      </c>
      <c r="Q6" s="28">
        <v>14861</v>
      </c>
      <c r="R6" s="28">
        <v>2182</v>
      </c>
      <c r="S6" s="28">
        <v>1832</v>
      </c>
      <c r="T6" s="28">
        <v>1508</v>
      </c>
      <c r="U6" s="28">
        <v>1403</v>
      </c>
      <c r="V6" s="28">
        <v>182</v>
      </c>
      <c r="W6" s="28">
        <v>17</v>
      </c>
      <c r="X6" s="28">
        <v>17</v>
      </c>
      <c r="Y6" s="28">
        <v>21</v>
      </c>
      <c r="Z6" s="28">
        <v>18</v>
      </c>
      <c r="AA6" s="26">
        <v>1838</v>
      </c>
      <c r="AB6" s="26">
        <v>170</v>
      </c>
      <c r="AC6" s="26">
        <v>167</v>
      </c>
      <c r="AD6" s="26">
        <v>183</v>
      </c>
      <c r="AE6" s="26">
        <v>168</v>
      </c>
      <c r="AF6" s="33">
        <f>(H6/G6*4)+(I6/G6*3)+(J6/G6*2)+(K6/G6*1)</f>
        <v>0.77777777777777779</v>
      </c>
      <c r="AG6" s="33">
        <f>(M6/L6*4)+(N6/L6*3)+(O6/L6*2)+(P6/L6*1)</f>
        <v>0.91071428571428581</v>
      </c>
      <c r="AH6" s="33">
        <f>(R6/Q6*4)+(S6/Q6*3)+(T6/Q6*2)+(U6/Q6*1)</f>
        <v>1.2544916223672702</v>
      </c>
      <c r="AI6" s="33">
        <f>(W6/V6*4)+(X6/V6*3)+(Y6/V6*2)+(Z6/V6*1)</f>
        <v>0.98351648351648346</v>
      </c>
      <c r="AJ6" s="33">
        <f>(AB6/AA6*4)+(AC6/AA6*3)+(AD6/AA6*2)+(AE6/AA6*1)</f>
        <v>0.93307943416757355</v>
      </c>
      <c r="AK6" s="33">
        <f>AVERAGE(AH6:AJ6)</f>
        <v>1.057029180017109</v>
      </c>
      <c r="AL6" s="40">
        <f>E6/MAX($E$6:$E$15)</f>
        <v>0.25085545722713865</v>
      </c>
      <c r="AM6" s="40">
        <f>(AVERAGE($C$6:$C$15)-C6)/AVERAGE($C$6:$C$15)</f>
        <v>-3.4482758620689655E-2</v>
      </c>
      <c r="AN6" s="35"/>
      <c r="AO6" s="34">
        <f>AF6*$AO$3</f>
        <v>35</v>
      </c>
      <c r="AP6" s="34">
        <f t="shared" ref="AP6:AP69" si="1">AG6*$AP$3</f>
        <v>31.875000000000004</v>
      </c>
      <c r="AQ6" s="34">
        <f t="shared" ref="AQ6:AQ69" si="2">AH6*$AQ$3</f>
        <v>10.035932978938161</v>
      </c>
      <c r="AR6" s="34">
        <f t="shared" ref="AR6:AR69" si="3">AI6*$AR$3</f>
        <v>5.9010989010989006</v>
      </c>
      <c r="AS6" s="34">
        <f t="shared" ref="AS6:AS69" si="4">AJ6*$AS$3</f>
        <v>1.8661588683351471</v>
      </c>
      <c r="AT6" s="34">
        <f t="shared" ref="AT6:AT69" si="5">AK6*$AT$3</f>
        <v>5.2851459000855447</v>
      </c>
      <c r="AU6" s="34">
        <f t="shared" ref="AU6:AU69" si="6">AL6*$AU$3</f>
        <v>1.2542772861356932</v>
      </c>
      <c r="AV6" s="34">
        <f t="shared" ref="AV6:AV69" si="7">AM6*$AV$3</f>
        <v>-0.34482758620689657</v>
      </c>
      <c r="AW6" s="92">
        <f>(AO6)+(AP6)+(AT6)+(AU6)+(AV6)</f>
        <v>73.069595600014338</v>
      </c>
      <c r="AY6" s="13">
        <v>4</v>
      </c>
      <c r="AZ6" s="86">
        <v>169.31355508086662</v>
      </c>
      <c r="BA6" s="36"/>
      <c r="BB6" s="36"/>
    </row>
    <row r="7" spans="1:59" s="28" customFormat="1">
      <c r="A7" s="41">
        <v>2</v>
      </c>
      <c r="B7" s="42" t="s">
        <v>36</v>
      </c>
      <c r="C7" s="39">
        <v>59.5</v>
      </c>
      <c r="D7" s="14">
        <v>236350</v>
      </c>
      <c r="E7" s="32">
        <f t="shared" si="0"/>
        <v>26261.111111111109</v>
      </c>
      <c r="F7" s="14">
        <f t="shared" ref="F7:F15" si="8">G7</f>
        <v>9</v>
      </c>
      <c r="G7" s="14">
        <v>9</v>
      </c>
      <c r="H7" s="14">
        <v>0</v>
      </c>
      <c r="I7" s="14">
        <v>1</v>
      </c>
      <c r="J7" s="14">
        <v>1</v>
      </c>
      <c r="K7" s="14">
        <v>3</v>
      </c>
      <c r="L7" s="28">
        <v>30</v>
      </c>
      <c r="M7" s="28">
        <v>2</v>
      </c>
      <c r="N7" s="28">
        <v>5</v>
      </c>
      <c r="O7" s="28">
        <v>3</v>
      </c>
      <c r="P7" s="28">
        <v>0</v>
      </c>
      <c r="Q7" s="28">
        <v>14023</v>
      </c>
      <c r="R7" s="28">
        <v>1794</v>
      </c>
      <c r="S7" s="28">
        <v>1680</v>
      </c>
      <c r="T7" s="28">
        <v>1463</v>
      </c>
      <c r="U7" s="28">
        <v>1419</v>
      </c>
      <c r="V7" s="28">
        <v>189</v>
      </c>
      <c r="W7" s="28">
        <v>19</v>
      </c>
      <c r="X7" s="28">
        <v>24</v>
      </c>
      <c r="Y7" s="28">
        <v>27</v>
      </c>
      <c r="Z7" s="28">
        <v>17</v>
      </c>
      <c r="AA7" s="26">
        <v>1802</v>
      </c>
      <c r="AB7" s="26">
        <v>164</v>
      </c>
      <c r="AC7" s="26">
        <v>169</v>
      </c>
      <c r="AD7" s="26">
        <v>176</v>
      </c>
      <c r="AE7" s="26">
        <v>154</v>
      </c>
      <c r="AF7" s="33">
        <f t="shared" ref="AF7:AF70" si="9">(H7/G7*4)+(I7/G7*3)+(J7/G7*2)+(K7/G7*1)</f>
        <v>0.88888888888888884</v>
      </c>
      <c r="AG7" s="33">
        <f t="shared" ref="AG7:AG70" si="10">(M7/L7*4)+(N7/L7*3)+(O7/L7*2)+(P7/L7*1)</f>
        <v>0.96666666666666656</v>
      </c>
      <c r="AH7" s="33">
        <f t="shared" ref="AH7:AH70" si="11">(R7/Q7*4)+(S7/Q7*3)+(T7/Q7*2)+(U7/Q7*1)</f>
        <v>1.1809883762390359</v>
      </c>
      <c r="AI7" s="33">
        <f t="shared" ref="AI7:AI70" si="12">(W7/V7*4)+(X7/V7*3)+(Y7/V7*2)+(Z7/V7*1)</f>
        <v>1.1587301587301588</v>
      </c>
      <c r="AJ7" s="33">
        <f t="shared" ref="AJ7:AJ70" si="13">(AB7/AA7*4)+(AC7/AA7*3)+(AD7/AA7*2)+(AE7/AA7*1)</f>
        <v>0.92619311875693677</v>
      </c>
      <c r="AK7" s="33"/>
      <c r="AL7" s="40">
        <f t="shared" ref="AL7:AL15" si="14">E7/MAX($E$6:$E$15)</f>
        <v>0.27887905604719759</v>
      </c>
      <c r="AM7" s="40">
        <f t="shared" ref="AM7:AM15" si="15">(AVERAGE($C$6:$C$15)-C7)/AVERAGE($C$6:$C$15)*2</f>
        <v>-5.1724137931034482E-2</v>
      </c>
      <c r="AN7" s="35"/>
      <c r="AO7" s="34">
        <f t="shared" ref="AO7:AO70" si="16">AF7*$AO$3</f>
        <v>40</v>
      </c>
      <c r="AP7" s="34">
        <f t="shared" si="1"/>
        <v>33.833333333333329</v>
      </c>
      <c r="AQ7" s="34">
        <f t="shared" si="2"/>
        <v>9.4479070099122868</v>
      </c>
      <c r="AR7" s="34">
        <f t="shared" si="3"/>
        <v>6.9523809523809526</v>
      </c>
      <c r="AS7" s="34">
        <f t="shared" si="4"/>
        <v>1.8523862375138735</v>
      </c>
      <c r="AT7" s="34">
        <f t="shared" si="5"/>
        <v>0</v>
      </c>
      <c r="AU7" s="34">
        <f t="shared" si="6"/>
        <v>1.394395280235988</v>
      </c>
      <c r="AV7" s="34">
        <f t="shared" si="7"/>
        <v>-0.51724137931034486</v>
      </c>
      <c r="AW7" s="92">
        <f t="shared" ref="AW6:AW69" si="17">(AO7)+(AP7)+(AT7)+(AU7)+(AV7)</f>
        <v>74.710487234258963</v>
      </c>
      <c r="AY7" s="13">
        <v>3</v>
      </c>
      <c r="AZ7" s="86">
        <v>159.52978056426332</v>
      </c>
      <c r="BA7" s="36"/>
      <c r="BB7" s="36"/>
    </row>
    <row r="8" spans="1:59" s="28" customFormat="1">
      <c r="A8" s="37">
        <v>3</v>
      </c>
      <c r="B8" s="38" t="s">
        <v>37</v>
      </c>
      <c r="C8" s="39">
        <v>62</v>
      </c>
      <c r="D8" s="14">
        <v>847500</v>
      </c>
      <c r="E8" s="32">
        <f t="shared" si="0"/>
        <v>94166.666666666672</v>
      </c>
      <c r="F8" s="14">
        <f t="shared" si="8"/>
        <v>9</v>
      </c>
      <c r="G8" s="14">
        <v>9</v>
      </c>
      <c r="H8" s="14">
        <v>3</v>
      </c>
      <c r="I8" s="14">
        <v>1</v>
      </c>
      <c r="J8" s="14">
        <v>3</v>
      </c>
      <c r="K8" s="14">
        <v>0</v>
      </c>
      <c r="L8" s="28">
        <v>77</v>
      </c>
      <c r="M8" s="28">
        <v>12</v>
      </c>
      <c r="N8" s="28">
        <v>14</v>
      </c>
      <c r="O8" s="28">
        <v>8</v>
      </c>
      <c r="P8" s="28">
        <v>6</v>
      </c>
      <c r="Q8" s="28">
        <v>8478</v>
      </c>
      <c r="R8" s="28">
        <v>1085</v>
      </c>
      <c r="S8" s="28">
        <v>1011</v>
      </c>
      <c r="T8" s="28">
        <v>971</v>
      </c>
      <c r="U8" s="28">
        <v>943</v>
      </c>
      <c r="V8" s="28">
        <v>67</v>
      </c>
      <c r="W8" s="28">
        <v>7</v>
      </c>
      <c r="X8" s="28">
        <v>7</v>
      </c>
      <c r="Y8" s="28">
        <v>9</v>
      </c>
      <c r="Z8" s="28">
        <v>4</v>
      </c>
      <c r="AA8" s="26">
        <v>2756</v>
      </c>
      <c r="AB8" s="26">
        <v>334</v>
      </c>
      <c r="AC8" s="26">
        <v>290</v>
      </c>
      <c r="AD8" s="26">
        <v>317</v>
      </c>
      <c r="AE8" s="26">
        <v>297</v>
      </c>
      <c r="AF8" s="33">
        <f>(H8/G8*4)+(I8/G8*3)+(J8/G8*2)+(K8/G8*1)</f>
        <v>2.333333333333333</v>
      </c>
      <c r="AG8" s="33">
        <f t="shared" si="10"/>
        <v>1.4545454545454546</v>
      </c>
      <c r="AH8" s="33">
        <f t="shared" si="11"/>
        <v>1.2099551781080444</v>
      </c>
      <c r="AI8" s="33">
        <f t="shared" si="12"/>
        <v>1.0597014925373134</v>
      </c>
      <c r="AJ8" s="33">
        <f t="shared" si="13"/>
        <v>1.138243831640058</v>
      </c>
      <c r="AK8" s="33"/>
      <c r="AL8" s="40">
        <f t="shared" si="14"/>
        <v>1</v>
      </c>
      <c r="AM8" s="40">
        <f t="shared" si="15"/>
        <v>-0.13793103448275862</v>
      </c>
      <c r="AN8" s="35"/>
      <c r="AO8" s="34">
        <f t="shared" si="16"/>
        <v>104.99999999999999</v>
      </c>
      <c r="AP8" s="34">
        <f t="shared" si="1"/>
        <v>50.909090909090914</v>
      </c>
      <c r="AQ8" s="34">
        <f t="shared" si="2"/>
        <v>9.6796414248643554</v>
      </c>
      <c r="AR8" s="34">
        <f t="shared" si="3"/>
        <v>6.3582089552238799</v>
      </c>
      <c r="AS8" s="34">
        <f t="shared" si="4"/>
        <v>2.2764876632801161</v>
      </c>
      <c r="AT8" s="34">
        <f t="shared" si="5"/>
        <v>0</v>
      </c>
      <c r="AU8" s="34">
        <f t="shared" si="6"/>
        <v>5</v>
      </c>
      <c r="AV8" s="34">
        <f t="shared" si="7"/>
        <v>-1.3793103448275863</v>
      </c>
      <c r="AW8" s="92">
        <f t="shared" si="17"/>
        <v>159.52978056426332</v>
      </c>
      <c r="AY8" s="13">
        <v>8</v>
      </c>
      <c r="AZ8" s="86">
        <v>119.57459360500883</v>
      </c>
      <c r="BA8" s="36"/>
      <c r="BB8" s="36"/>
    </row>
    <row r="9" spans="1:59" s="28" customFormat="1">
      <c r="A9" s="41">
        <v>4</v>
      </c>
      <c r="B9" s="42" t="s">
        <v>38</v>
      </c>
      <c r="C9" s="39">
        <v>59.5</v>
      </c>
      <c r="D9" s="14">
        <v>887300</v>
      </c>
      <c r="E9" s="32">
        <f t="shared" si="0"/>
        <v>88730</v>
      </c>
      <c r="F9" s="14">
        <f t="shared" si="8"/>
        <v>10</v>
      </c>
      <c r="G9" s="14">
        <v>10</v>
      </c>
      <c r="H9" s="14">
        <v>3</v>
      </c>
      <c r="I9" s="14">
        <v>3</v>
      </c>
      <c r="J9" s="14">
        <v>0</v>
      </c>
      <c r="K9" s="14">
        <v>0</v>
      </c>
      <c r="L9" s="28">
        <v>339</v>
      </c>
      <c r="M9" s="28">
        <v>89</v>
      </c>
      <c r="N9" s="28">
        <v>60</v>
      </c>
      <c r="O9" s="28">
        <v>52</v>
      </c>
      <c r="P9" s="28">
        <v>44</v>
      </c>
      <c r="Q9" s="28">
        <v>1069</v>
      </c>
      <c r="R9" s="28">
        <v>121</v>
      </c>
      <c r="S9" s="28">
        <v>133</v>
      </c>
      <c r="T9" s="28">
        <v>126</v>
      </c>
      <c r="U9" s="28">
        <v>93</v>
      </c>
      <c r="V9" s="28">
        <v>199</v>
      </c>
      <c r="W9" s="28">
        <v>29</v>
      </c>
      <c r="X9" s="28">
        <v>24</v>
      </c>
      <c r="Y9" s="28">
        <v>21</v>
      </c>
      <c r="Z9" s="28">
        <v>19</v>
      </c>
      <c r="AA9" s="26">
        <v>5789</v>
      </c>
      <c r="AB9" s="26">
        <v>604</v>
      </c>
      <c r="AC9" s="26">
        <v>553</v>
      </c>
      <c r="AD9" s="26">
        <v>556</v>
      </c>
      <c r="AE9" s="26">
        <v>571</v>
      </c>
      <c r="AF9" s="33">
        <f t="shared" si="9"/>
        <v>2.0999999999999996</v>
      </c>
      <c r="AG9" s="33">
        <f t="shared" si="10"/>
        <v>2.0176991150442478</v>
      </c>
      <c r="AH9" s="33">
        <f t="shared" si="11"/>
        <v>1.1487371375116933</v>
      </c>
      <c r="AI9" s="33">
        <f t="shared" si="12"/>
        <v>1.2512562814070352</v>
      </c>
      <c r="AJ9" s="33">
        <f t="shared" si="13"/>
        <v>0.99464501641043368</v>
      </c>
      <c r="AK9" s="33"/>
      <c r="AL9" s="40">
        <f t="shared" si="14"/>
        <v>0.94226548672566368</v>
      </c>
      <c r="AM9" s="40">
        <f t="shared" si="15"/>
        <v>-5.1724137931034482E-2</v>
      </c>
      <c r="AN9" s="35"/>
      <c r="AO9" s="34">
        <f t="shared" si="16"/>
        <v>94.499999999999986</v>
      </c>
      <c r="AP9" s="34">
        <f t="shared" si="1"/>
        <v>70.619469026548671</v>
      </c>
      <c r="AQ9" s="34">
        <f t="shared" si="2"/>
        <v>9.1898971000935461</v>
      </c>
      <c r="AR9" s="34">
        <f t="shared" si="3"/>
        <v>7.5075376884422109</v>
      </c>
      <c r="AS9" s="34">
        <f t="shared" si="4"/>
        <v>1.9892900328208674</v>
      </c>
      <c r="AT9" s="34">
        <f t="shared" si="5"/>
        <v>0</v>
      </c>
      <c r="AU9" s="34">
        <f t="shared" si="6"/>
        <v>4.711327433628318</v>
      </c>
      <c r="AV9" s="34">
        <f t="shared" si="7"/>
        <v>-0.51724137931034486</v>
      </c>
      <c r="AW9" s="92">
        <f t="shared" si="17"/>
        <v>169.31355508086662</v>
      </c>
      <c r="AY9" s="13">
        <v>10</v>
      </c>
      <c r="AZ9" s="86">
        <v>113.20018866475085</v>
      </c>
      <c r="BA9" s="36"/>
      <c r="BB9" s="36"/>
    </row>
    <row r="10" spans="1:59" s="28" customFormat="1">
      <c r="A10" s="37">
        <v>5</v>
      </c>
      <c r="B10" s="38" t="s">
        <v>39</v>
      </c>
      <c r="C10" s="39">
        <v>59</v>
      </c>
      <c r="D10" s="14">
        <v>418000</v>
      </c>
      <c r="E10" s="32">
        <f t="shared" si="0"/>
        <v>46444.444444444445</v>
      </c>
      <c r="F10" s="14">
        <f t="shared" si="8"/>
        <v>9</v>
      </c>
      <c r="G10" s="14">
        <v>9</v>
      </c>
      <c r="H10" s="14">
        <v>1</v>
      </c>
      <c r="I10" s="14">
        <v>1</v>
      </c>
      <c r="J10" s="14">
        <v>0</v>
      </c>
      <c r="K10" s="14">
        <v>3</v>
      </c>
      <c r="L10" s="28">
        <v>52</v>
      </c>
      <c r="M10" s="28">
        <v>3</v>
      </c>
      <c r="N10" s="28">
        <v>4</v>
      </c>
      <c r="O10" s="28">
        <v>4</v>
      </c>
      <c r="P10" s="28">
        <v>6</v>
      </c>
      <c r="Q10" s="28">
        <v>14861</v>
      </c>
      <c r="R10" s="28">
        <v>2182</v>
      </c>
      <c r="S10" s="28">
        <v>1832</v>
      </c>
      <c r="T10" s="28">
        <v>1508</v>
      </c>
      <c r="U10" s="28">
        <v>1403</v>
      </c>
      <c r="V10" s="28">
        <v>103</v>
      </c>
      <c r="W10" s="28">
        <v>6</v>
      </c>
      <c r="X10" s="28">
        <v>9</v>
      </c>
      <c r="Y10" s="28">
        <v>11</v>
      </c>
      <c r="Z10" s="28">
        <v>13</v>
      </c>
      <c r="AA10" s="26">
        <v>3342</v>
      </c>
      <c r="AB10" s="26">
        <v>332</v>
      </c>
      <c r="AC10" s="26">
        <v>348</v>
      </c>
      <c r="AD10" s="26">
        <v>341</v>
      </c>
      <c r="AE10" s="26">
        <v>330</v>
      </c>
      <c r="AF10" s="33">
        <f t="shared" si="9"/>
        <v>1.1111111111111109</v>
      </c>
      <c r="AG10" s="33">
        <f t="shared" si="10"/>
        <v>0.73076923076923084</v>
      </c>
      <c r="AH10" s="33">
        <f t="shared" si="11"/>
        <v>1.2544916223672702</v>
      </c>
      <c r="AI10" s="33">
        <f t="shared" si="12"/>
        <v>0.83495145631067968</v>
      </c>
      <c r="AJ10" s="33">
        <f t="shared" si="13"/>
        <v>1.0125673249551168</v>
      </c>
      <c r="AK10" s="33">
        <f t="shared" ref="AK10:AK15" si="18">AVERAGE(AH10:AJ10)</f>
        <v>1.0340034678776888</v>
      </c>
      <c r="AL10" s="40">
        <f t="shared" si="14"/>
        <v>0.49321533923303834</v>
      </c>
      <c r="AM10" s="40">
        <f t="shared" si="15"/>
        <v>-3.4482758620689655E-2</v>
      </c>
      <c r="AN10" s="35"/>
      <c r="AO10" s="34">
        <f t="shared" si="16"/>
        <v>49.999999999999993</v>
      </c>
      <c r="AP10" s="34">
        <f t="shared" si="1"/>
        <v>25.57692307692308</v>
      </c>
      <c r="AQ10" s="34">
        <f t="shared" si="2"/>
        <v>10.035932978938161</v>
      </c>
      <c r="AR10" s="34">
        <f t="shared" si="3"/>
        <v>5.0097087378640781</v>
      </c>
      <c r="AS10" s="34">
        <f t="shared" si="4"/>
        <v>2.0251346499102336</v>
      </c>
      <c r="AT10" s="34">
        <f t="shared" si="5"/>
        <v>5.1700173393884441</v>
      </c>
      <c r="AU10" s="34">
        <f t="shared" si="6"/>
        <v>2.4660766961651919</v>
      </c>
      <c r="AV10" s="34">
        <f t="shared" si="7"/>
        <v>-0.34482758620689657</v>
      </c>
      <c r="AW10" s="92">
        <f t="shared" si="17"/>
        <v>82.868189526269802</v>
      </c>
      <c r="AY10" s="13">
        <v>5</v>
      </c>
      <c r="AZ10" s="86">
        <v>82.868189526269802</v>
      </c>
      <c r="BA10" s="36"/>
      <c r="BB10" s="36"/>
    </row>
    <row r="11" spans="1:59" s="28" customFormat="1">
      <c r="A11" s="41">
        <v>6</v>
      </c>
      <c r="B11" s="42" t="s">
        <v>40</v>
      </c>
      <c r="C11" s="39">
        <v>60.5</v>
      </c>
      <c r="D11" s="14">
        <v>280000</v>
      </c>
      <c r="E11" s="32">
        <f t="shared" si="0"/>
        <v>31111.111111111109</v>
      </c>
      <c r="F11" s="14">
        <f t="shared" si="8"/>
        <v>9</v>
      </c>
      <c r="G11" s="14">
        <v>9</v>
      </c>
      <c r="H11" s="14">
        <v>1</v>
      </c>
      <c r="I11" s="14">
        <v>0</v>
      </c>
      <c r="J11" s="14">
        <v>0</v>
      </c>
      <c r="K11" s="14">
        <v>0</v>
      </c>
      <c r="L11" s="28">
        <v>81</v>
      </c>
      <c r="M11" s="28">
        <v>8</v>
      </c>
      <c r="N11" s="28">
        <v>5</v>
      </c>
      <c r="O11" s="28">
        <v>7</v>
      </c>
      <c r="P11" s="28">
        <v>13</v>
      </c>
      <c r="Q11" s="28">
        <v>2125</v>
      </c>
      <c r="R11" s="28">
        <v>247</v>
      </c>
      <c r="S11" s="28">
        <v>269</v>
      </c>
      <c r="T11" s="28">
        <v>243</v>
      </c>
      <c r="U11" s="28">
        <v>209</v>
      </c>
      <c r="V11" s="28">
        <v>166</v>
      </c>
      <c r="W11" s="28">
        <v>9</v>
      </c>
      <c r="X11" s="28">
        <v>17</v>
      </c>
      <c r="Y11" s="28">
        <v>21</v>
      </c>
      <c r="Z11" s="28">
        <v>8</v>
      </c>
      <c r="AA11" s="26">
        <v>3485</v>
      </c>
      <c r="AB11" s="26">
        <v>304</v>
      </c>
      <c r="AC11" s="26">
        <v>301</v>
      </c>
      <c r="AD11" s="26">
        <v>327</v>
      </c>
      <c r="AE11" s="26">
        <v>285</v>
      </c>
      <c r="AF11" s="33">
        <f t="shared" si="9"/>
        <v>0.44444444444444442</v>
      </c>
      <c r="AG11" s="33">
        <f t="shared" si="10"/>
        <v>0.91358024691358009</v>
      </c>
      <c r="AH11" s="33">
        <f t="shared" si="11"/>
        <v>1.1717647058823528</v>
      </c>
      <c r="AI11" s="33">
        <f t="shared" si="12"/>
        <v>0.82530120481927705</v>
      </c>
      <c r="AJ11" s="33">
        <f t="shared" si="13"/>
        <v>0.87747489239598275</v>
      </c>
      <c r="AK11" s="33">
        <f t="shared" si="18"/>
        <v>0.95818026769920417</v>
      </c>
      <c r="AL11" s="40">
        <f t="shared" si="14"/>
        <v>0.33038348082595864</v>
      </c>
      <c r="AM11" s="40">
        <f t="shared" si="15"/>
        <v>-8.6206896551724144E-2</v>
      </c>
      <c r="AN11" s="35"/>
      <c r="AO11" s="34">
        <f t="shared" si="16"/>
        <v>20</v>
      </c>
      <c r="AP11" s="34">
        <f t="shared" si="1"/>
        <v>31.975308641975303</v>
      </c>
      <c r="AQ11" s="34">
        <f t="shared" si="2"/>
        <v>9.3741176470588226</v>
      </c>
      <c r="AR11" s="34">
        <f t="shared" si="3"/>
        <v>4.9518072289156621</v>
      </c>
      <c r="AS11" s="34">
        <f t="shared" si="4"/>
        <v>1.7549497847919655</v>
      </c>
      <c r="AT11" s="34">
        <f t="shared" si="5"/>
        <v>4.7909013384960204</v>
      </c>
      <c r="AU11" s="34">
        <f t="shared" si="6"/>
        <v>1.6519174041297933</v>
      </c>
      <c r="AV11" s="34">
        <f t="shared" si="7"/>
        <v>-0.86206896551724144</v>
      </c>
      <c r="AW11" s="92">
        <f t="shared" si="17"/>
        <v>57.556058419083875</v>
      </c>
      <c r="AY11" s="13">
        <v>7</v>
      </c>
      <c r="AZ11" s="86">
        <v>81.139710659139269</v>
      </c>
      <c r="BA11" s="36"/>
      <c r="BB11" s="36"/>
    </row>
    <row r="12" spans="1:59" s="28" customFormat="1">
      <c r="A12" s="37">
        <v>7</v>
      </c>
      <c r="B12" s="38" t="s">
        <v>41</v>
      </c>
      <c r="C12" s="39">
        <v>58</v>
      </c>
      <c r="D12" s="14">
        <v>170400</v>
      </c>
      <c r="E12" s="32">
        <f t="shared" si="0"/>
        <v>17040</v>
      </c>
      <c r="F12" s="14">
        <f t="shared" si="8"/>
        <v>10</v>
      </c>
      <c r="G12" s="14">
        <v>10</v>
      </c>
      <c r="H12" s="14">
        <v>0</v>
      </c>
      <c r="I12" s="14">
        <v>1</v>
      </c>
      <c r="J12" s="14">
        <v>1</v>
      </c>
      <c r="K12" s="14">
        <v>3</v>
      </c>
      <c r="L12" s="28">
        <v>259</v>
      </c>
      <c r="M12" s="28">
        <v>28</v>
      </c>
      <c r="N12" s="28">
        <v>28</v>
      </c>
      <c r="O12" s="28">
        <v>26</v>
      </c>
      <c r="P12" s="28">
        <v>37</v>
      </c>
      <c r="Q12" s="28">
        <v>14023</v>
      </c>
      <c r="R12" s="28">
        <v>1794</v>
      </c>
      <c r="S12" s="28">
        <v>1680</v>
      </c>
      <c r="T12" s="28">
        <v>1463</v>
      </c>
      <c r="U12" s="28">
        <v>1419</v>
      </c>
      <c r="V12" s="28">
        <v>44</v>
      </c>
      <c r="W12" s="28">
        <v>5</v>
      </c>
      <c r="X12" s="28">
        <v>3</v>
      </c>
      <c r="Y12" s="28">
        <v>8</v>
      </c>
      <c r="Z12" s="28">
        <v>7</v>
      </c>
      <c r="AA12" s="26">
        <v>6296</v>
      </c>
      <c r="AB12" s="26">
        <v>675</v>
      </c>
      <c r="AC12" s="26">
        <v>712</v>
      </c>
      <c r="AD12" s="26">
        <v>632</v>
      </c>
      <c r="AE12" s="26">
        <v>637</v>
      </c>
      <c r="AF12" s="33">
        <f t="shared" si="9"/>
        <v>0.8</v>
      </c>
      <c r="AG12" s="33">
        <f t="shared" si="10"/>
        <v>1.1003861003861004</v>
      </c>
      <c r="AH12" s="33">
        <f t="shared" si="11"/>
        <v>1.1809883762390359</v>
      </c>
      <c r="AI12" s="33">
        <f t="shared" si="12"/>
        <v>1.1818181818181819</v>
      </c>
      <c r="AJ12" s="33">
        <f t="shared" si="13"/>
        <v>1.0700444726810674</v>
      </c>
      <c r="AK12" s="33">
        <f t="shared" si="18"/>
        <v>1.1442836769127618</v>
      </c>
      <c r="AL12" s="40">
        <f t="shared" si="14"/>
        <v>0.18095575221238938</v>
      </c>
      <c r="AM12" s="40">
        <f t="shared" si="15"/>
        <v>0</v>
      </c>
      <c r="AN12" s="35"/>
      <c r="AO12" s="34">
        <f t="shared" si="16"/>
        <v>36</v>
      </c>
      <c r="AP12" s="34">
        <f t="shared" si="1"/>
        <v>38.513513513513516</v>
      </c>
      <c r="AQ12" s="34">
        <f t="shared" si="2"/>
        <v>9.4479070099122868</v>
      </c>
      <c r="AR12" s="34">
        <f t="shared" si="3"/>
        <v>7.0909090909090917</v>
      </c>
      <c r="AS12" s="34">
        <f t="shared" si="4"/>
        <v>2.1400889453621348</v>
      </c>
      <c r="AT12" s="34">
        <f t="shared" si="5"/>
        <v>5.7214183845638091</v>
      </c>
      <c r="AU12" s="34">
        <f t="shared" si="6"/>
        <v>0.90477876106194688</v>
      </c>
      <c r="AV12" s="34">
        <f t="shared" si="7"/>
        <v>0</v>
      </c>
      <c r="AW12" s="92">
        <f t="shared" si="17"/>
        <v>81.139710659139269</v>
      </c>
      <c r="AY12" s="13">
        <v>9</v>
      </c>
      <c r="AZ12" s="86">
        <v>75.040450133009884</v>
      </c>
      <c r="BA12" s="36"/>
      <c r="BB12" s="36"/>
    </row>
    <row r="13" spans="1:59" s="28" customFormat="1">
      <c r="A13" s="41">
        <v>8</v>
      </c>
      <c r="B13" s="42" t="s">
        <v>42</v>
      </c>
      <c r="C13" s="39">
        <v>58.5</v>
      </c>
      <c r="D13" s="14">
        <v>287400</v>
      </c>
      <c r="E13" s="32">
        <f t="shared" si="0"/>
        <v>31933.333333333332</v>
      </c>
      <c r="F13" s="14">
        <f t="shared" si="8"/>
        <v>9</v>
      </c>
      <c r="G13" s="14">
        <v>9</v>
      </c>
      <c r="H13" s="14">
        <v>0</v>
      </c>
      <c r="I13" s="14">
        <v>3</v>
      </c>
      <c r="J13" s="14">
        <v>1</v>
      </c>
      <c r="K13" s="14">
        <v>0</v>
      </c>
      <c r="L13" s="28">
        <v>281</v>
      </c>
      <c r="M13" s="28">
        <v>53</v>
      </c>
      <c r="N13" s="28">
        <v>43</v>
      </c>
      <c r="O13" s="28">
        <v>36</v>
      </c>
      <c r="P13" s="28">
        <v>45</v>
      </c>
      <c r="Q13" s="28">
        <v>14861</v>
      </c>
      <c r="R13" s="28">
        <v>2182</v>
      </c>
      <c r="S13" s="28">
        <v>1832</v>
      </c>
      <c r="T13" s="28">
        <v>1508</v>
      </c>
      <c r="U13" s="28">
        <v>1403</v>
      </c>
      <c r="V13" s="28">
        <v>271</v>
      </c>
      <c r="W13" s="28">
        <v>44</v>
      </c>
      <c r="X13" s="28">
        <v>32</v>
      </c>
      <c r="Y13" s="28">
        <v>32</v>
      </c>
      <c r="Z13" s="28">
        <v>24</v>
      </c>
      <c r="AA13" s="26">
        <v>14359</v>
      </c>
      <c r="AB13" s="26">
        <v>1509</v>
      </c>
      <c r="AC13" s="26">
        <v>1475</v>
      </c>
      <c r="AD13" s="26">
        <v>1390</v>
      </c>
      <c r="AE13" s="26">
        <v>1408</v>
      </c>
      <c r="AF13" s="33">
        <f t="shared" si="9"/>
        <v>1.2222222222222223</v>
      </c>
      <c r="AG13" s="33">
        <f t="shared" si="10"/>
        <v>1.6298932384341638</v>
      </c>
      <c r="AH13" s="33">
        <f t="shared" si="11"/>
        <v>1.2544916223672702</v>
      </c>
      <c r="AI13" s="33">
        <f t="shared" si="12"/>
        <v>1.3284132841328411</v>
      </c>
      <c r="AJ13" s="33">
        <f t="shared" si="13"/>
        <v>1.0201963925064419</v>
      </c>
      <c r="AK13" s="33">
        <f t="shared" si="18"/>
        <v>1.2010337663355177</v>
      </c>
      <c r="AL13" s="40">
        <f t="shared" si="14"/>
        <v>0.3391150442477876</v>
      </c>
      <c r="AM13" s="40">
        <f t="shared" si="15"/>
        <v>-1.7241379310344827E-2</v>
      </c>
      <c r="AN13" s="35"/>
      <c r="AO13" s="34">
        <f t="shared" si="16"/>
        <v>55.000000000000007</v>
      </c>
      <c r="AP13" s="34">
        <f t="shared" si="1"/>
        <v>57.046263345195733</v>
      </c>
      <c r="AQ13" s="34">
        <f t="shared" si="2"/>
        <v>10.035932978938161</v>
      </c>
      <c r="AR13" s="34">
        <f t="shared" si="3"/>
        <v>7.9704797047970466</v>
      </c>
      <c r="AS13" s="34">
        <f t="shared" si="4"/>
        <v>2.0403927850128838</v>
      </c>
      <c r="AT13" s="34">
        <f t="shared" si="5"/>
        <v>6.0051688316775884</v>
      </c>
      <c r="AU13" s="34">
        <f t="shared" si="6"/>
        <v>1.6955752212389381</v>
      </c>
      <c r="AV13" s="34">
        <f t="shared" si="7"/>
        <v>-0.17241379310344829</v>
      </c>
      <c r="AW13" s="92">
        <f t="shared" si="17"/>
        <v>119.57459360500883</v>
      </c>
      <c r="AY13" s="13">
        <v>2</v>
      </c>
      <c r="AZ13" s="86">
        <v>74.710487234258963</v>
      </c>
      <c r="BA13" s="36"/>
      <c r="BB13" s="36"/>
    </row>
    <row r="14" spans="1:59" s="28" customFormat="1">
      <c r="A14" s="43">
        <v>9</v>
      </c>
      <c r="B14" s="44" t="s">
        <v>43</v>
      </c>
      <c r="C14" s="39">
        <v>53</v>
      </c>
      <c r="D14" s="14">
        <v>269300</v>
      </c>
      <c r="E14" s="32">
        <f t="shared" si="0"/>
        <v>29922.222222222223</v>
      </c>
      <c r="F14" s="14">
        <f t="shared" si="8"/>
        <v>9</v>
      </c>
      <c r="G14" s="14">
        <v>9</v>
      </c>
      <c r="H14" s="14">
        <v>0</v>
      </c>
      <c r="I14" s="14">
        <v>2</v>
      </c>
      <c r="J14" s="14">
        <v>1</v>
      </c>
      <c r="K14" s="14">
        <v>1</v>
      </c>
      <c r="L14" s="28">
        <v>13</v>
      </c>
      <c r="M14" s="28">
        <v>0</v>
      </c>
      <c r="N14" s="28">
        <v>2</v>
      </c>
      <c r="O14" s="28">
        <v>0</v>
      </c>
      <c r="P14" s="28">
        <v>2</v>
      </c>
      <c r="Q14" s="28">
        <v>14861</v>
      </c>
      <c r="R14" s="28">
        <v>2182</v>
      </c>
      <c r="S14" s="28">
        <v>1832</v>
      </c>
      <c r="T14" s="28">
        <v>1508</v>
      </c>
      <c r="U14" s="28">
        <v>1403</v>
      </c>
      <c r="V14" s="28">
        <v>78</v>
      </c>
      <c r="W14" s="28">
        <v>7</v>
      </c>
      <c r="X14" s="28">
        <v>9</v>
      </c>
      <c r="Y14" s="28">
        <v>4</v>
      </c>
      <c r="Z14" s="28">
        <v>6</v>
      </c>
      <c r="AA14" s="26">
        <v>857</v>
      </c>
      <c r="AB14" s="26">
        <v>82</v>
      </c>
      <c r="AC14" s="26">
        <v>87</v>
      </c>
      <c r="AD14" s="26">
        <v>80</v>
      </c>
      <c r="AE14" s="26">
        <v>86</v>
      </c>
      <c r="AF14" s="33">
        <f t="shared" si="9"/>
        <v>1</v>
      </c>
      <c r="AG14" s="33">
        <f t="shared" si="10"/>
        <v>0.61538461538461542</v>
      </c>
      <c r="AH14" s="33">
        <f t="shared" si="11"/>
        <v>1.2544916223672702</v>
      </c>
      <c r="AI14" s="33">
        <f t="shared" si="12"/>
        <v>0.88461538461538458</v>
      </c>
      <c r="AJ14" s="33">
        <f t="shared" si="13"/>
        <v>0.97432905484247379</v>
      </c>
      <c r="AK14" s="33">
        <f t="shared" si="18"/>
        <v>1.0378120206083761</v>
      </c>
      <c r="AL14" s="40">
        <f t="shared" si="14"/>
        <v>0.31775811209439525</v>
      </c>
      <c r="AM14" s="40">
        <f t="shared" si="15"/>
        <v>0.17241379310344829</v>
      </c>
      <c r="AN14" s="35"/>
      <c r="AO14" s="34">
        <f t="shared" si="16"/>
        <v>45</v>
      </c>
      <c r="AP14" s="34">
        <f t="shared" si="1"/>
        <v>21.53846153846154</v>
      </c>
      <c r="AQ14" s="34">
        <f t="shared" si="2"/>
        <v>10.035932978938161</v>
      </c>
      <c r="AR14" s="34">
        <f t="shared" si="3"/>
        <v>5.3076923076923075</v>
      </c>
      <c r="AS14" s="34">
        <f t="shared" si="4"/>
        <v>1.9486581096849476</v>
      </c>
      <c r="AT14" s="34">
        <f t="shared" si="5"/>
        <v>5.1890601030418804</v>
      </c>
      <c r="AU14" s="34">
        <f t="shared" si="6"/>
        <v>1.5887905604719763</v>
      </c>
      <c r="AV14" s="34">
        <f t="shared" si="7"/>
        <v>1.7241379310344829</v>
      </c>
      <c r="AW14" s="92">
        <f t="shared" si="17"/>
        <v>75.040450133009884</v>
      </c>
      <c r="AY14" s="13">
        <v>1</v>
      </c>
      <c r="AZ14" s="86">
        <v>73.069595600014338</v>
      </c>
      <c r="BA14" s="36"/>
      <c r="BB14" s="36"/>
    </row>
    <row r="15" spans="1:59" s="28" customFormat="1">
      <c r="A15" s="41">
        <v>10</v>
      </c>
      <c r="B15" s="42" t="s">
        <v>44</v>
      </c>
      <c r="C15" s="39">
        <v>50</v>
      </c>
      <c r="D15" s="14">
        <v>545500</v>
      </c>
      <c r="E15" s="32">
        <f t="shared" si="0"/>
        <v>54550</v>
      </c>
      <c r="F15" s="14">
        <f t="shared" si="8"/>
        <v>10</v>
      </c>
      <c r="G15" s="14">
        <v>10</v>
      </c>
      <c r="H15" s="14">
        <v>1</v>
      </c>
      <c r="I15" s="14">
        <v>4</v>
      </c>
      <c r="J15" s="14">
        <v>0</v>
      </c>
      <c r="K15" s="14">
        <v>1</v>
      </c>
      <c r="L15" s="28">
        <v>107</v>
      </c>
      <c r="M15" s="28">
        <v>6</v>
      </c>
      <c r="N15" s="28">
        <v>11</v>
      </c>
      <c r="O15" s="28">
        <v>8</v>
      </c>
      <c r="P15" s="28">
        <v>7</v>
      </c>
      <c r="Q15" s="28">
        <v>719</v>
      </c>
      <c r="R15" s="28">
        <v>49</v>
      </c>
      <c r="S15" s="28">
        <v>62</v>
      </c>
      <c r="T15" s="28">
        <v>72</v>
      </c>
      <c r="U15" s="28">
        <v>77</v>
      </c>
      <c r="V15" s="28">
        <v>101</v>
      </c>
      <c r="W15" s="28">
        <v>10</v>
      </c>
      <c r="X15" s="28">
        <v>13</v>
      </c>
      <c r="Y15" s="28">
        <v>11</v>
      </c>
      <c r="Z15" s="28">
        <v>9</v>
      </c>
      <c r="AA15" s="26">
        <v>10343</v>
      </c>
      <c r="AB15" s="26">
        <v>1077</v>
      </c>
      <c r="AC15" s="26">
        <v>1012</v>
      </c>
      <c r="AD15" s="26">
        <v>967</v>
      </c>
      <c r="AE15" s="26">
        <v>1048</v>
      </c>
      <c r="AF15" s="33">
        <f t="shared" si="9"/>
        <v>1.7000000000000002</v>
      </c>
      <c r="AG15" s="33">
        <f t="shared" si="10"/>
        <v>0.74766355140186913</v>
      </c>
      <c r="AH15" s="33">
        <f t="shared" si="11"/>
        <v>0.83866481223922107</v>
      </c>
      <c r="AI15" s="33">
        <f t="shared" si="12"/>
        <v>1.0891089108910892</v>
      </c>
      <c r="AJ15" s="33">
        <f t="shared" si="13"/>
        <v>0.99835637629314511</v>
      </c>
      <c r="AK15" s="33">
        <f t="shared" si="18"/>
        <v>0.97537669980781849</v>
      </c>
      <c r="AL15" s="40">
        <f t="shared" si="14"/>
        <v>0.57929203539823004</v>
      </c>
      <c r="AM15" s="40">
        <f t="shared" si="15"/>
        <v>0.27586206896551724</v>
      </c>
      <c r="AN15" s="35"/>
      <c r="AO15" s="34">
        <f t="shared" si="16"/>
        <v>76.500000000000014</v>
      </c>
      <c r="AP15" s="34">
        <f t="shared" si="1"/>
        <v>26.168224299065418</v>
      </c>
      <c r="AQ15" s="34">
        <f t="shared" si="2"/>
        <v>6.7093184979137686</v>
      </c>
      <c r="AR15" s="34">
        <f t="shared" si="3"/>
        <v>6.5346534653465351</v>
      </c>
      <c r="AS15" s="34">
        <f t="shared" si="4"/>
        <v>1.9967127525862902</v>
      </c>
      <c r="AT15" s="34">
        <f t="shared" si="5"/>
        <v>4.8768834990390921</v>
      </c>
      <c r="AU15" s="34">
        <f t="shared" si="6"/>
        <v>2.89646017699115</v>
      </c>
      <c r="AV15" s="34">
        <f t="shared" si="7"/>
        <v>2.7586206896551726</v>
      </c>
      <c r="AW15" s="92">
        <f t="shared" si="17"/>
        <v>113.20018866475085</v>
      </c>
      <c r="AY15" s="13">
        <v>6</v>
      </c>
      <c r="AZ15" s="86">
        <v>57.556058419083875</v>
      </c>
      <c r="BA15" s="36"/>
      <c r="BB15" s="36"/>
    </row>
    <row r="16" spans="1:59" s="28" customFormat="1">
      <c r="A16" s="45"/>
      <c r="B16" s="46"/>
      <c r="C16" s="39"/>
      <c r="D16" s="32"/>
      <c r="E16" s="32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4"/>
      <c r="AM16" s="34"/>
      <c r="AN16" s="35"/>
      <c r="AO16" s="34">
        <f t="shared" si="16"/>
        <v>0</v>
      </c>
      <c r="AP16" s="34">
        <f t="shared" si="1"/>
        <v>0</v>
      </c>
      <c r="AQ16" s="34">
        <f t="shared" si="2"/>
        <v>0</v>
      </c>
      <c r="AR16" s="34">
        <f t="shared" si="3"/>
        <v>0</v>
      </c>
      <c r="AS16" s="34">
        <f t="shared" si="4"/>
        <v>0</v>
      </c>
      <c r="AT16" s="34">
        <f t="shared" si="5"/>
        <v>0</v>
      </c>
      <c r="AU16" s="34">
        <f t="shared" si="6"/>
        <v>0</v>
      </c>
      <c r="AV16" s="34">
        <f t="shared" si="7"/>
        <v>0</v>
      </c>
      <c r="AW16" s="92">
        <f t="shared" si="17"/>
        <v>0</v>
      </c>
      <c r="AX16" s="27"/>
      <c r="BA16" s="36"/>
      <c r="BB16" s="36"/>
    </row>
    <row r="17" spans="1:54" s="28" customFormat="1" ht="20.100000000000001" thickBot="1">
      <c r="A17" s="29"/>
      <c r="B17" s="30" t="s">
        <v>45</v>
      </c>
      <c r="C17" s="31"/>
      <c r="D17" s="14"/>
      <c r="E17" s="32"/>
      <c r="AF17" s="33"/>
      <c r="AG17" s="33"/>
      <c r="AH17" s="33"/>
      <c r="AI17" s="33"/>
      <c r="AJ17" s="33"/>
      <c r="AK17" s="33"/>
      <c r="AL17" s="34"/>
      <c r="AM17" s="34"/>
      <c r="AN17" s="35"/>
      <c r="AO17" s="34">
        <f t="shared" si="16"/>
        <v>0</v>
      </c>
      <c r="AP17" s="34">
        <f t="shared" si="1"/>
        <v>0</v>
      </c>
      <c r="AQ17" s="34">
        <f t="shared" si="2"/>
        <v>0</v>
      </c>
      <c r="AR17" s="34">
        <f t="shared" si="3"/>
        <v>0</v>
      </c>
      <c r="AS17" s="34">
        <f t="shared" si="4"/>
        <v>0</v>
      </c>
      <c r="AT17" s="34">
        <f t="shared" si="5"/>
        <v>0</v>
      </c>
      <c r="AU17" s="34">
        <f t="shared" si="6"/>
        <v>0</v>
      </c>
      <c r="AV17" s="34">
        <f t="shared" si="7"/>
        <v>0</v>
      </c>
      <c r="AW17" s="92">
        <f t="shared" si="17"/>
        <v>0</v>
      </c>
      <c r="AX17" s="27"/>
      <c r="BA17" s="36"/>
      <c r="BB17" s="36"/>
    </row>
    <row r="18" spans="1:54" s="28" customFormat="1" ht="18.95" customHeight="1">
      <c r="A18" s="47">
        <v>1</v>
      </c>
      <c r="B18" s="48" t="s">
        <v>46</v>
      </c>
      <c r="C18" s="39">
        <v>61</v>
      </c>
      <c r="D18" s="14">
        <v>641350</v>
      </c>
      <c r="E18" s="32">
        <f t="shared" ref="E18:E27" si="19">D18/F18</f>
        <v>64135</v>
      </c>
      <c r="F18" s="14">
        <f t="shared" ref="F18:F27" si="20">G18</f>
        <v>10</v>
      </c>
      <c r="G18" s="14">
        <v>10</v>
      </c>
      <c r="H18" s="14">
        <v>1</v>
      </c>
      <c r="I18" s="14">
        <v>2</v>
      </c>
      <c r="J18" s="14">
        <v>3</v>
      </c>
      <c r="K18" s="14">
        <v>1</v>
      </c>
      <c r="L18" s="28">
        <v>127</v>
      </c>
      <c r="M18" s="28">
        <v>10</v>
      </c>
      <c r="N18" s="28">
        <v>24</v>
      </c>
      <c r="O18" s="28">
        <v>12</v>
      </c>
      <c r="P18" s="28">
        <v>13</v>
      </c>
      <c r="Q18" s="28">
        <v>2253</v>
      </c>
      <c r="R18" s="28">
        <v>195</v>
      </c>
      <c r="S18" s="28">
        <v>233</v>
      </c>
      <c r="T18" s="28">
        <v>227</v>
      </c>
      <c r="U18" s="28">
        <v>222</v>
      </c>
      <c r="V18" s="28">
        <v>106</v>
      </c>
      <c r="W18" s="28">
        <v>15</v>
      </c>
      <c r="X18" s="28">
        <v>13</v>
      </c>
      <c r="Y18" s="28">
        <v>9</v>
      </c>
      <c r="Z18" s="28">
        <v>16</v>
      </c>
      <c r="AA18" s="26">
        <v>2901</v>
      </c>
      <c r="AB18" s="26">
        <v>283</v>
      </c>
      <c r="AC18" s="26">
        <v>293</v>
      </c>
      <c r="AD18" s="26">
        <v>306</v>
      </c>
      <c r="AE18" s="26">
        <v>309</v>
      </c>
      <c r="AF18" s="33">
        <f t="shared" si="9"/>
        <v>1.7000000000000002</v>
      </c>
      <c r="AG18" s="33">
        <f t="shared" si="10"/>
        <v>1.1732283464566928</v>
      </c>
      <c r="AH18" s="33">
        <f t="shared" si="11"/>
        <v>0.9565024411895251</v>
      </c>
      <c r="AI18" s="33">
        <f t="shared" si="12"/>
        <v>1.2547169811320755</v>
      </c>
      <c r="AJ18" s="33">
        <f t="shared" si="13"/>
        <v>1.0106859703550499</v>
      </c>
      <c r="AK18" s="33">
        <f>AVERAGE(AH18:AJ18)</f>
        <v>1.0739684642255503</v>
      </c>
      <c r="AL18" s="40">
        <f>E18/MAX($E$18:$E$27)</f>
        <v>0.83270579070371331</v>
      </c>
      <c r="AM18" s="40">
        <f>(AVERAGE($C$18:$C$27)-C18)/AVERAGE($C$18:$C$27)</f>
        <v>-9.2211280214861205E-2</v>
      </c>
      <c r="AN18" s="35"/>
      <c r="AO18" s="34">
        <f t="shared" si="16"/>
        <v>76.500000000000014</v>
      </c>
      <c r="AP18" s="34">
        <f t="shared" si="1"/>
        <v>41.062992125984252</v>
      </c>
      <c r="AQ18" s="34">
        <f t="shared" si="2"/>
        <v>7.6520195295162008</v>
      </c>
      <c r="AR18" s="34">
        <f t="shared" si="3"/>
        <v>7.5283018867924536</v>
      </c>
      <c r="AS18" s="34">
        <f t="shared" si="4"/>
        <v>2.0213719407100998</v>
      </c>
      <c r="AT18" s="34">
        <f t="shared" si="5"/>
        <v>5.3698423211277513</v>
      </c>
      <c r="AU18" s="34">
        <f t="shared" si="6"/>
        <v>4.1635289535185667</v>
      </c>
      <c r="AV18" s="34">
        <f t="shared" si="7"/>
        <v>-0.92211280214861202</v>
      </c>
      <c r="AW18" s="92">
        <f t="shared" si="17"/>
        <v>126.17425059848196</v>
      </c>
      <c r="AX18" s="34"/>
      <c r="AY18" s="13">
        <v>3</v>
      </c>
      <c r="AZ18" s="86">
        <v>171.67878475390629</v>
      </c>
      <c r="BA18" s="36"/>
      <c r="BB18" s="36"/>
    </row>
    <row r="19" spans="1:54" s="28" customFormat="1">
      <c r="A19" s="49">
        <v>2</v>
      </c>
      <c r="B19" s="42" t="s">
        <v>47</v>
      </c>
      <c r="C19" s="39">
        <v>61</v>
      </c>
      <c r="D19" s="14">
        <v>642100</v>
      </c>
      <c r="E19" s="32">
        <f t="shared" si="19"/>
        <v>64210</v>
      </c>
      <c r="F19" s="14">
        <f t="shared" si="20"/>
        <v>10</v>
      </c>
      <c r="G19" s="14">
        <v>10</v>
      </c>
      <c r="H19" s="14">
        <v>2</v>
      </c>
      <c r="I19" s="14">
        <v>1</v>
      </c>
      <c r="J19" s="14">
        <v>1</v>
      </c>
      <c r="K19" s="14">
        <v>2</v>
      </c>
      <c r="L19" s="28">
        <v>361</v>
      </c>
      <c r="M19" s="28">
        <v>69</v>
      </c>
      <c r="N19" s="28">
        <v>65</v>
      </c>
      <c r="O19" s="28">
        <v>49</v>
      </c>
      <c r="P19" s="28">
        <v>50</v>
      </c>
      <c r="Q19" s="28">
        <v>1694</v>
      </c>
      <c r="R19" s="28">
        <v>208</v>
      </c>
      <c r="S19" s="28">
        <v>206</v>
      </c>
      <c r="T19" s="28">
        <v>206</v>
      </c>
      <c r="U19" s="28">
        <v>207</v>
      </c>
      <c r="V19" s="28">
        <v>49</v>
      </c>
      <c r="W19" s="28">
        <v>11</v>
      </c>
      <c r="X19" s="28">
        <v>9</v>
      </c>
      <c r="Y19" s="28">
        <v>7</v>
      </c>
      <c r="Z19" s="28">
        <v>5</v>
      </c>
      <c r="AA19" s="26">
        <v>1959</v>
      </c>
      <c r="AB19" s="26">
        <v>218</v>
      </c>
      <c r="AC19" s="26">
        <v>237</v>
      </c>
      <c r="AD19" s="26">
        <v>209</v>
      </c>
      <c r="AE19" s="26">
        <v>202</v>
      </c>
      <c r="AF19" s="33">
        <f t="shared" si="9"/>
        <v>1.5</v>
      </c>
      <c r="AG19" s="33">
        <f t="shared" si="10"/>
        <v>1.7146814404432134</v>
      </c>
      <c r="AH19" s="33">
        <f t="shared" si="11"/>
        <v>1.2213695395513575</v>
      </c>
      <c r="AI19" s="33">
        <f t="shared" si="12"/>
        <v>1.8367346938775508</v>
      </c>
      <c r="AJ19" s="33">
        <f t="shared" si="13"/>
        <v>1.1245533435426236</v>
      </c>
      <c r="AK19" s="33">
        <f t="shared" ref="AK19:AK27" si="21">AVERAGE(AH19:AJ19)</f>
        <v>1.3942191923238438</v>
      </c>
      <c r="AL19" s="40">
        <f t="shared" ref="AL19:AL27" si="22">E19/MAX($E$18:$E$27)</f>
        <v>0.83367956374967545</v>
      </c>
      <c r="AM19" s="40">
        <f t="shared" ref="AM19:AM27" si="23">(AVERAGE($C$18:$C$27)-C19)/AVERAGE($C$18:$C$27)</f>
        <v>-9.2211280214861205E-2</v>
      </c>
      <c r="AN19" s="35"/>
      <c r="AO19" s="34">
        <f t="shared" si="16"/>
        <v>67.5</v>
      </c>
      <c r="AP19" s="34">
        <f t="shared" si="1"/>
        <v>60.013850415512465</v>
      </c>
      <c r="AQ19" s="34">
        <f t="shared" si="2"/>
        <v>9.7709563164108602</v>
      </c>
      <c r="AR19" s="34">
        <f t="shared" si="3"/>
        <v>11.020408163265305</v>
      </c>
      <c r="AS19" s="34">
        <f t="shared" si="4"/>
        <v>2.2491066870852472</v>
      </c>
      <c r="AT19" s="34">
        <f t="shared" si="5"/>
        <v>6.971095961619219</v>
      </c>
      <c r="AU19" s="34">
        <f t="shared" si="6"/>
        <v>4.1683978187483772</v>
      </c>
      <c r="AV19" s="34">
        <f t="shared" si="7"/>
        <v>-0.92211280214861202</v>
      </c>
      <c r="AW19" s="92">
        <f t="shared" si="17"/>
        <v>137.73123139373146</v>
      </c>
      <c r="AX19" s="34"/>
      <c r="AY19" s="13">
        <v>8</v>
      </c>
      <c r="AZ19" s="86">
        <v>166.35457765608018</v>
      </c>
      <c r="BA19" s="36"/>
      <c r="BB19" s="36"/>
    </row>
    <row r="20" spans="1:54" s="28" customFormat="1">
      <c r="A20" s="50">
        <v>3</v>
      </c>
      <c r="B20" s="38" t="s">
        <v>48</v>
      </c>
      <c r="C20" s="39">
        <v>59</v>
      </c>
      <c r="D20" s="14">
        <v>591150</v>
      </c>
      <c r="E20" s="32">
        <f t="shared" si="19"/>
        <v>59115</v>
      </c>
      <c r="F20" s="14">
        <f t="shared" si="20"/>
        <v>10</v>
      </c>
      <c r="G20" s="14">
        <v>10</v>
      </c>
      <c r="H20" s="14">
        <v>4</v>
      </c>
      <c r="I20" s="14">
        <v>0</v>
      </c>
      <c r="J20" s="14">
        <v>1</v>
      </c>
      <c r="K20" s="14">
        <v>3</v>
      </c>
      <c r="L20" s="28">
        <v>379</v>
      </c>
      <c r="M20" s="28">
        <v>94</v>
      </c>
      <c r="N20" s="28">
        <v>57</v>
      </c>
      <c r="O20" s="28">
        <v>79</v>
      </c>
      <c r="P20" s="28">
        <v>51</v>
      </c>
      <c r="Q20" s="28">
        <v>4552</v>
      </c>
      <c r="R20" s="28">
        <v>445</v>
      </c>
      <c r="S20" s="28">
        <v>478</v>
      </c>
      <c r="T20" s="28">
        <v>453</v>
      </c>
      <c r="U20" s="28">
        <v>514</v>
      </c>
      <c r="V20" s="28">
        <v>39</v>
      </c>
      <c r="W20" s="28">
        <v>7</v>
      </c>
      <c r="X20" s="28">
        <v>4</v>
      </c>
      <c r="Y20" s="28">
        <v>4</v>
      </c>
      <c r="Z20" s="28">
        <v>8</v>
      </c>
      <c r="AA20" s="26">
        <v>1</v>
      </c>
      <c r="AB20" s="26">
        <v>0</v>
      </c>
      <c r="AC20" s="26">
        <v>0</v>
      </c>
      <c r="AD20" s="26">
        <v>0</v>
      </c>
      <c r="AE20" s="26">
        <v>0</v>
      </c>
      <c r="AF20" s="33">
        <f t="shared" si="9"/>
        <v>2.1</v>
      </c>
      <c r="AG20" s="33">
        <f t="shared" si="10"/>
        <v>1.9947229551451187</v>
      </c>
      <c r="AH20" s="33">
        <f t="shared" si="11"/>
        <v>1.0180140597539544</v>
      </c>
      <c r="AI20" s="33">
        <f t="shared" si="12"/>
        <v>1.4358974358974357</v>
      </c>
      <c r="AJ20" s="33">
        <f t="shared" si="13"/>
        <v>0</v>
      </c>
      <c r="AK20" s="33">
        <f t="shared" si="21"/>
        <v>0.81797049855046333</v>
      </c>
      <c r="AL20" s="40">
        <f t="shared" si="22"/>
        <v>0.76752791482731753</v>
      </c>
      <c r="AM20" s="40">
        <f t="shared" si="23"/>
        <v>-5.6401074306177232E-2</v>
      </c>
      <c r="AN20" s="35"/>
      <c r="AO20" s="34">
        <f t="shared" si="16"/>
        <v>94.5</v>
      </c>
      <c r="AP20" s="34">
        <f t="shared" si="1"/>
        <v>69.815303430079155</v>
      </c>
      <c r="AQ20" s="34">
        <f t="shared" si="2"/>
        <v>8.1441124780316354</v>
      </c>
      <c r="AR20" s="34">
        <f t="shared" si="3"/>
        <v>8.6153846153846132</v>
      </c>
      <c r="AS20" s="34">
        <f t="shared" si="4"/>
        <v>0</v>
      </c>
      <c r="AT20" s="34">
        <f t="shared" si="5"/>
        <v>4.0898524927523168</v>
      </c>
      <c r="AU20" s="34">
        <f t="shared" si="6"/>
        <v>3.8376395741365874</v>
      </c>
      <c r="AV20" s="34">
        <f t="shared" si="7"/>
        <v>-0.56401074306177235</v>
      </c>
      <c r="AW20" s="92">
        <f t="shared" si="17"/>
        <v>171.67878475390629</v>
      </c>
      <c r="AX20" s="34"/>
      <c r="AY20" s="13">
        <v>2</v>
      </c>
      <c r="AZ20" s="86">
        <v>137.73123139373146</v>
      </c>
      <c r="BA20" s="36"/>
      <c r="BB20" s="36"/>
    </row>
    <row r="21" spans="1:54" s="28" customFormat="1">
      <c r="A21" s="49">
        <v>4</v>
      </c>
      <c r="B21" s="42" t="s">
        <v>49</v>
      </c>
      <c r="C21" s="39">
        <v>55.5</v>
      </c>
      <c r="D21" s="14">
        <v>390000</v>
      </c>
      <c r="E21" s="32">
        <f t="shared" si="19"/>
        <v>39000</v>
      </c>
      <c r="F21" s="14">
        <f t="shared" si="20"/>
        <v>10</v>
      </c>
      <c r="G21" s="14">
        <v>10</v>
      </c>
      <c r="H21" s="14">
        <v>1</v>
      </c>
      <c r="I21" s="14">
        <v>3</v>
      </c>
      <c r="J21" s="14">
        <v>0</v>
      </c>
      <c r="K21" s="14">
        <v>2</v>
      </c>
      <c r="L21" s="28">
        <v>391</v>
      </c>
      <c r="M21" s="28">
        <v>61</v>
      </c>
      <c r="N21" s="28">
        <v>49</v>
      </c>
      <c r="O21" s="28">
        <v>51</v>
      </c>
      <c r="P21" s="28">
        <v>61</v>
      </c>
      <c r="Q21" s="28">
        <v>1694</v>
      </c>
      <c r="R21" s="28">
        <v>208</v>
      </c>
      <c r="S21" s="28">
        <v>206</v>
      </c>
      <c r="T21" s="28">
        <v>206</v>
      </c>
      <c r="U21" s="28">
        <v>207</v>
      </c>
      <c r="V21" s="28">
        <v>27</v>
      </c>
      <c r="W21" s="28">
        <v>4</v>
      </c>
      <c r="X21" s="28">
        <v>6</v>
      </c>
      <c r="Y21" s="28">
        <v>1</v>
      </c>
      <c r="Z21" s="28">
        <v>4</v>
      </c>
      <c r="AA21" s="26">
        <v>1504</v>
      </c>
      <c r="AB21" s="26">
        <v>199</v>
      </c>
      <c r="AC21" s="26">
        <v>170</v>
      </c>
      <c r="AD21" s="26">
        <v>157</v>
      </c>
      <c r="AE21" s="26">
        <v>176</v>
      </c>
      <c r="AF21" s="33">
        <f t="shared" si="9"/>
        <v>1.4999999999999998</v>
      </c>
      <c r="AG21" s="33">
        <f t="shared" si="10"/>
        <v>1.4168797953964194</v>
      </c>
      <c r="AH21" s="33">
        <f t="shared" si="11"/>
        <v>1.2213695395513575</v>
      </c>
      <c r="AI21" s="33">
        <f t="shared" si="12"/>
        <v>1.4814814814814812</v>
      </c>
      <c r="AJ21" s="33">
        <f t="shared" si="13"/>
        <v>1.1941489361702127</v>
      </c>
      <c r="AK21" s="33">
        <f t="shared" si="21"/>
        <v>1.2989999857343504</v>
      </c>
      <c r="AL21" s="40">
        <f t="shared" si="22"/>
        <v>0.50636198390028564</v>
      </c>
      <c r="AM21" s="40">
        <f t="shared" si="23"/>
        <v>6.266786034019721E-3</v>
      </c>
      <c r="AN21" s="35"/>
      <c r="AO21" s="34">
        <f t="shared" si="16"/>
        <v>67.499999999999986</v>
      </c>
      <c r="AP21" s="34">
        <f t="shared" si="1"/>
        <v>49.590792838874677</v>
      </c>
      <c r="AQ21" s="34">
        <f t="shared" si="2"/>
        <v>9.7709563164108602</v>
      </c>
      <c r="AR21" s="34">
        <f t="shared" si="3"/>
        <v>8.8888888888888875</v>
      </c>
      <c r="AS21" s="34">
        <f t="shared" si="4"/>
        <v>2.3882978723404253</v>
      </c>
      <c r="AT21" s="34">
        <f t="shared" si="5"/>
        <v>6.4949999286717519</v>
      </c>
      <c r="AU21" s="34">
        <f t="shared" si="6"/>
        <v>2.5318099195014283</v>
      </c>
      <c r="AV21" s="34">
        <f t="shared" si="7"/>
        <v>6.266786034019721E-2</v>
      </c>
      <c r="AW21" s="92">
        <f t="shared" si="17"/>
        <v>126.18027054738803</v>
      </c>
      <c r="AX21" s="34"/>
      <c r="AY21" s="13">
        <v>5</v>
      </c>
      <c r="AZ21" s="86">
        <v>133.94872652610718</v>
      </c>
      <c r="BA21" s="36"/>
      <c r="BB21" s="36"/>
    </row>
    <row r="22" spans="1:54" s="28" customFormat="1">
      <c r="A22" s="50">
        <v>5</v>
      </c>
      <c r="B22" s="38" t="s">
        <v>50</v>
      </c>
      <c r="C22" s="39">
        <v>57</v>
      </c>
      <c r="D22" s="14">
        <v>475250</v>
      </c>
      <c r="E22" s="32">
        <f t="shared" si="19"/>
        <v>52805.555555555555</v>
      </c>
      <c r="F22" s="14">
        <f t="shared" si="20"/>
        <v>9</v>
      </c>
      <c r="G22" s="14">
        <v>9</v>
      </c>
      <c r="H22" s="14">
        <v>1</v>
      </c>
      <c r="I22" s="14">
        <v>2</v>
      </c>
      <c r="J22" s="14">
        <v>1</v>
      </c>
      <c r="K22" s="14">
        <v>2</v>
      </c>
      <c r="L22" s="28">
        <v>387</v>
      </c>
      <c r="M22" s="28">
        <v>61</v>
      </c>
      <c r="N22" s="28">
        <v>67</v>
      </c>
      <c r="O22" s="28">
        <v>57</v>
      </c>
      <c r="P22" s="28">
        <v>59</v>
      </c>
      <c r="Q22" s="28">
        <v>3320</v>
      </c>
      <c r="R22" s="28">
        <v>493</v>
      </c>
      <c r="S22" s="28">
        <v>419</v>
      </c>
      <c r="T22" s="28">
        <v>404</v>
      </c>
      <c r="U22" s="28">
        <v>375</v>
      </c>
      <c r="V22" s="28">
        <v>77</v>
      </c>
      <c r="W22" s="28">
        <v>7</v>
      </c>
      <c r="X22" s="28">
        <v>6</v>
      </c>
      <c r="Y22" s="28">
        <v>8</v>
      </c>
      <c r="Z22" s="28">
        <v>11</v>
      </c>
      <c r="AA22" s="26">
        <v>94</v>
      </c>
      <c r="AB22" s="26">
        <v>8</v>
      </c>
      <c r="AC22" s="26">
        <v>6</v>
      </c>
      <c r="AD22" s="26">
        <v>8</v>
      </c>
      <c r="AE22" s="26">
        <v>12</v>
      </c>
      <c r="AF22" s="33">
        <f t="shared" si="9"/>
        <v>1.5555555555555558</v>
      </c>
      <c r="AG22" s="33">
        <f t="shared" si="10"/>
        <v>1.5968992248062017</v>
      </c>
      <c r="AH22" s="33">
        <f t="shared" si="11"/>
        <v>1.3289156626506025</v>
      </c>
      <c r="AI22" s="33">
        <f t="shared" si="12"/>
        <v>0.94805194805194803</v>
      </c>
      <c r="AJ22" s="33">
        <f t="shared" si="13"/>
        <v>0.82978723404255317</v>
      </c>
      <c r="AK22" s="33">
        <f t="shared" si="21"/>
        <v>1.0355849482483679</v>
      </c>
      <c r="AL22" s="40">
        <f t="shared" si="22"/>
        <v>0.68560835569404777</v>
      </c>
      <c r="AM22" s="40">
        <f t="shared" si="23"/>
        <v>-2.0590868397493259E-2</v>
      </c>
      <c r="AN22" s="35"/>
      <c r="AO22" s="34">
        <f t="shared" si="16"/>
        <v>70.000000000000014</v>
      </c>
      <c r="AP22" s="34">
        <f t="shared" si="1"/>
        <v>55.891472868217058</v>
      </c>
      <c r="AQ22" s="34">
        <f t="shared" si="2"/>
        <v>10.63132530120482</v>
      </c>
      <c r="AR22" s="34">
        <f t="shared" si="3"/>
        <v>5.6883116883116882</v>
      </c>
      <c r="AS22" s="34">
        <f t="shared" si="4"/>
        <v>1.6595744680851063</v>
      </c>
      <c r="AT22" s="34">
        <f t="shared" si="5"/>
        <v>5.1779247412418394</v>
      </c>
      <c r="AU22" s="34">
        <f t="shared" si="6"/>
        <v>3.4280417784702388</v>
      </c>
      <c r="AV22" s="34">
        <f t="shared" si="7"/>
        <v>-0.20590868397493259</v>
      </c>
      <c r="AW22" s="92">
        <f t="shared" si="17"/>
        <v>134.29153070395421</v>
      </c>
      <c r="AX22" s="34"/>
      <c r="AY22" s="13">
        <v>9</v>
      </c>
      <c r="AZ22" s="86">
        <v>131.4517016388684</v>
      </c>
      <c r="BA22" s="36"/>
      <c r="BB22" s="36"/>
    </row>
    <row r="23" spans="1:54" s="28" customFormat="1">
      <c r="A23" s="49">
        <v>6</v>
      </c>
      <c r="B23" s="42" t="s">
        <v>51</v>
      </c>
      <c r="C23" s="39">
        <v>55</v>
      </c>
      <c r="D23" s="14">
        <v>770200</v>
      </c>
      <c r="E23" s="32">
        <f t="shared" si="19"/>
        <v>77020</v>
      </c>
      <c r="F23" s="14">
        <f t="shared" si="20"/>
        <v>10</v>
      </c>
      <c r="G23" s="14">
        <v>10</v>
      </c>
      <c r="H23" s="14">
        <v>2</v>
      </c>
      <c r="I23" s="14">
        <v>3</v>
      </c>
      <c r="J23" s="14">
        <v>1</v>
      </c>
      <c r="K23" s="14">
        <v>0</v>
      </c>
      <c r="L23" s="28">
        <v>50</v>
      </c>
      <c r="M23" s="28">
        <v>1</v>
      </c>
      <c r="N23" s="28">
        <v>2</v>
      </c>
      <c r="O23" s="28">
        <v>6</v>
      </c>
      <c r="P23" s="28">
        <v>7</v>
      </c>
      <c r="Q23" s="28">
        <v>725</v>
      </c>
      <c r="R23" s="28">
        <v>61</v>
      </c>
      <c r="S23" s="28">
        <v>87</v>
      </c>
      <c r="T23" s="28">
        <v>62</v>
      </c>
      <c r="U23" s="28">
        <v>91</v>
      </c>
      <c r="V23" s="28">
        <v>25</v>
      </c>
      <c r="W23" s="28">
        <v>4</v>
      </c>
      <c r="X23" s="28">
        <v>8</v>
      </c>
      <c r="Y23" s="28">
        <v>1</v>
      </c>
      <c r="Z23" s="28">
        <v>1</v>
      </c>
      <c r="AA23" s="26">
        <v>499</v>
      </c>
      <c r="AB23" s="26">
        <v>65</v>
      </c>
      <c r="AC23" s="26">
        <v>70</v>
      </c>
      <c r="AD23" s="26">
        <v>70</v>
      </c>
      <c r="AE23" s="26">
        <v>52</v>
      </c>
      <c r="AF23" s="33">
        <f t="shared" si="9"/>
        <v>1.9</v>
      </c>
      <c r="AG23" s="33">
        <f t="shared" si="10"/>
        <v>0.58000000000000007</v>
      </c>
      <c r="AH23" s="33">
        <f t="shared" si="11"/>
        <v>0.99310344827586206</v>
      </c>
      <c r="AI23" s="33">
        <f t="shared" si="12"/>
        <v>1.7200000000000002</v>
      </c>
      <c r="AJ23" s="33">
        <f t="shared" si="13"/>
        <v>1.3266533066132262</v>
      </c>
      <c r="AK23" s="33">
        <f t="shared" si="21"/>
        <v>1.3465855849630295</v>
      </c>
      <c r="AL23" s="40">
        <f t="shared" si="22"/>
        <v>1</v>
      </c>
      <c r="AM23" s="40">
        <f t="shared" si="23"/>
        <v>1.5219337511190714E-2</v>
      </c>
      <c r="AN23" s="35"/>
      <c r="AO23" s="34">
        <f t="shared" si="16"/>
        <v>85.5</v>
      </c>
      <c r="AP23" s="34">
        <f t="shared" si="1"/>
        <v>20.300000000000004</v>
      </c>
      <c r="AQ23" s="34">
        <f t="shared" si="2"/>
        <v>7.9448275862068964</v>
      </c>
      <c r="AR23" s="34">
        <f t="shared" si="3"/>
        <v>10.32</v>
      </c>
      <c r="AS23" s="34">
        <f t="shared" si="4"/>
        <v>2.6533066132264524</v>
      </c>
      <c r="AT23" s="34">
        <f t="shared" si="5"/>
        <v>6.7329279248151472</v>
      </c>
      <c r="AU23" s="34">
        <f t="shared" si="6"/>
        <v>5</v>
      </c>
      <c r="AV23" s="34">
        <f t="shared" si="7"/>
        <v>0.15219337511190714</v>
      </c>
      <c r="AW23" s="92">
        <f t="shared" si="17"/>
        <v>117.68512129992706</v>
      </c>
      <c r="AX23" s="34"/>
      <c r="AY23" s="13">
        <v>4</v>
      </c>
      <c r="AZ23" s="86">
        <v>126.18027054738803</v>
      </c>
      <c r="BA23" s="36"/>
      <c r="BB23" s="36"/>
    </row>
    <row r="24" spans="1:54" s="28" customFormat="1">
      <c r="A24" s="50">
        <v>7</v>
      </c>
      <c r="B24" s="38" t="s">
        <v>52</v>
      </c>
      <c r="C24" s="39">
        <v>53.5</v>
      </c>
      <c r="D24" s="14">
        <v>181925</v>
      </c>
      <c r="E24" s="32">
        <f t="shared" si="19"/>
        <v>18192.5</v>
      </c>
      <c r="F24" s="14">
        <f t="shared" si="20"/>
        <v>10</v>
      </c>
      <c r="G24" s="14">
        <v>10</v>
      </c>
      <c r="H24" s="14">
        <v>0</v>
      </c>
      <c r="I24" s="14">
        <v>1</v>
      </c>
      <c r="J24" s="14">
        <v>3</v>
      </c>
      <c r="K24" s="14">
        <v>0</v>
      </c>
      <c r="L24" s="28">
        <v>281</v>
      </c>
      <c r="M24" s="28">
        <v>53</v>
      </c>
      <c r="N24" s="28">
        <v>43</v>
      </c>
      <c r="O24" s="28">
        <v>36</v>
      </c>
      <c r="P24" s="28">
        <v>45</v>
      </c>
      <c r="Q24" s="28">
        <v>3320</v>
      </c>
      <c r="R24" s="28">
        <v>493</v>
      </c>
      <c r="S24" s="28">
        <v>419</v>
      </c>
      <c r="T24" s="28">
        <v>404</v>
      </c>
      <c r="U24" s="28">
        <v>375</v>
      </c>
      <c r="V24" s="28">
        <v>142</v>
      </c>
      <c r="W24" s="28">
        <v>9</v>
      </c>
      <c r="X24" s="28">
        <v>21</v>
      </c>
      <c r="Y24" s="28">
        <v>19</v>
      </c>
      <c r="Z24" s="28">
        <v>17</v>
      </c>
      <c r="AA24" s="26">
        <v>512</v>
      </c>
      <c r="AB24" s="26">
        <v>49</v>
      </c>
      <c r="AC24" s="26">
        <v>68</v>
      </c>
      <c r="AD24" s="26">
        <v>63</v>
      </c>
      <c r="AE24" s="26">
        <v>63</v>
      </c>
      <c r="AF24" s="33">
        <f t="shared" si="9"/>
        <v>0.9</v>
      </c>
      <c r="AG24" s="33">
        <f t="shared" si="10"/>
        <v>1.6298932384341638</v>
      </c>
      <c r="AH24" s="33">
        <f t="shared" si="11"/>
        <v>1.3289156626506025</v>
      </c>
      <c r="AI24" s="33">
        <f t="shared" si="12"/>
        <v>1.084507042253521</v>
      </c>
      <c r="AJ24" s="33">
        <f t="shared" si="13"/>
        <v>1.150390625</v>
      </c>
      <c r="AK24" s="33">
        <f t="shared" si="21"/>
        <v>1.1879377766347077</v>
      </c>
      <c r="AL24" s="40">
        <f t="shared" si="22"/>
        <v>0.23620488184887042</v>
      </c>
      <c r="AM24" s="40">
        <f t="shared" si="23"/>
        <v>4.2076991942703694E-2</v>
      </c>
      <c r="AN24" s="35"/>
      <c r="AO24" s="34">
        <f t="shared" si="16"/>
        <v>40.5</v>
      </c>
      <c r="AP24" s="34">
        <f t="shared" si="1"/>
        <v>57.046263345195733</v>
      </c>
      <c r="AQ24" s="34">
        <f t="shared" si="2"/>
        <v>10.63132530120482</v>
      </c>
      <c r="AR24" s="34">
        <f t="shared" si="3"/>
        <v>6.5070422535211261</v>
      </c>
      <c r="AS24" s="34">
        <f t="shared" si="4"/>
        <v>2.30078125</v>
      </c>
      <c r="AT24" s="34">
        <f t="shared" si="5"/>
        <v>5.9396888831735382</v>
      </c>
      <c r="AU24" s="34">
        <f t="shared" si="6"/>
        <v>1.181024409244352</v>
      </c>
      <c r="AV24" s="34">
        <f t="shared" si="7"/>
        <v>0.42076991942703695</v>
      </c>
      <c r="AW24" s="92">
        <f t="shared" si="17"/>
        <v>105.08774655704067</v>
      </c>
      <c r="AX24" s="34"/>
      <c r="AY24" s="13">
        <v>1</v>
      </c>
      <c r="AZ24" s="86">
        <v>126.17425059848196</v>
      </c>
      <c r="BA24" s="36"/>
      <c r="BB24" s="36"/>
    </row>
    <row r="25" spans="1:54" s="28" customFormat="1">
      <c r="A25" s="49">
        <v>8</v>
      </c>
      <c r="B25" s="42" t="s">
        <v>53</v>
      </c>
      <c r="C25" s="39">
        <v>55</v>
      </c>
      <c r="D25" s="14">
        <v>526225</v>
      </c>
      <c r="E25" s="32">
        <f t="shared" si="19"/>
        <v>52622.5</v>
      </c>
      <c r="F25" s="14">
        <f t="shared" si="20"/>
        <v>10</v>
      </c>
      <c r="G25" s="14">
        <v>10</v>
      </c>
      <c r="H25" s="14">
        <v>3</v>
      </c>
      <c r="I25" s="14">
        <v>3</v>
      </c>
      <c r="J25" s="14">
        <v>2</v>
      </c>
      <c r="K25" s="14">
        <v>0</v>
      </c>
      <c r="L25" s="28">
        <v>89</v>
      </c>
      <c r="M25" s="28">
        <v>12</v>
      </c>
      <c r="N25" s="28">
        <v>13</v>
      </c>
      <c r="O25" s="28">
        <v>8</v>
      </c>
      <c r="P25" s="28">
        <v>8</v>
      </c>
      <c r="Q25" s="28">
        <v>3320</v>
      </c>
      <c r="R25" s="28">
        <v>493</v>
      </c>
      <c r="S25" s="28">
        <v>419</v>
      </c>
      <c r="T25" s="28">
        <v>404</v>
      </c>
      <c r="U25" s="28">
        <v>375</v>
      </c>
      <c r="V25" s="28">
        <v>18</v>
      </c>
      <c r="W25" s="28">
        <v>4</v>
      </c>
      <c r="X25" s="28">
        <v>3</v>
      </c>
      <c r="Y25" s="28">
        <v>2</v>
      </c>
      <c r="Z25" s="28">
        <v>0</v>
      </c>
      <c r="AA25" s="26">
        <v>516</v>
      </c>
      <c r="AB25" s="26">
        <v>43</v>
      </c>
      <c r="AC25" s="26">
        <v>59</v>
      </c>
      <c r="AD25" s="26">
        <v>68</v>
      </c>
      <c r="AE25" s="26">
        <v>52</v>
      </c>
      <c r="AF25" s="33">
        <f t="shared" si="9"/>
        <v>2.4999999999999996</v>
      </c>
      <c r="AG25" s="33">
        <f t="shared" si="10"/>
        <v>1.247191011235955</v>
      </c>
      <c r="AH25" s="33">
        <f t="shared" si="11"/>
        <v>1.3289156626506025</v>
      </c>
      <c r="AI25" s="33">
        <f t="shared" si="12"/>
        <v>1.6111111111111112</v>
      </c>
      <c r="AJ25" s="33">
        <f t="shared" si="13"/>
        <v>1.0406976744186047</v>
      </c>
      <c r="AK25" s="33">
        <f t="shared" si="21"/>
        <v>1.3269081493934396</v>
      </c>
      <c r="AL25" s="40">
        <f t="shared" si="22"/>
        <v>0.68323162814853289</v>
      </c>
      <c r="AM25" s="40">
        <f t="shared" si="23"/>
        <v>1.5219337511190714E-2</v>
      </c>
      <c r="AN25" s="35"/>
      <c r="AO25" s="34">
        <f t="shared" si="16"/>
        <v>112.49999999999999</v>
      </c>
      <c r="AP25" s="34">
        <f t="shared" si="1"/>
        <v>43.651685393258425</v>
      </c>
      <c r="AQ25" s="34">
        <f t="shared" si="2"/>
        <v>10.63132530120482</v>
      </c>
      <c r="AR25" s="34">
        <f t="shared" si="3"/>
        <v>9.6666666666666679</v>
      </c>
      <c r="AS25" s="34">
        <f t="shared" si="4"/>
        <v>2.0813953488372094</v>
      </c>
      <c r="AT25" s="34">
        <f t="shared" si="5"/>
        <v>6.6345407469671978</v>
      </c>
      <c r="AU25" s="34">
        <f t="shared" si="6"/>
        <v>3.4161581407426644</v>
      </c>
      <c r="AV25" s="34">
        <f t="shared" si="7"/>
        <v>0.15219337511190714</v>
      </c>
      <c r="AW25" s="92">
        <f t="shared" si="17"/>
        <v>166.35457765608018</v>
      </c>
      <c r="AX25" s="34"/>
      <c r="AY25" s="13">
        <v>6</v>
      </c>
      <c r="AZ25" s="86">
        <v>117.68512129992706</v>
      </c>
      <c r="BA25" s="36"/>
      <c r="BB25" s="36"/>
    </row>
    <row r="26" spans="1:54" s="28" customFormat="1">
      <c r="A26" s="50">
        <v>9</v>
      </c>
      <c r="B26" s="38" t="s">
        <v>54</v>
      </c>
      <c r="C26" s="39">
        <v>51.5</v>
      </c>
      <c r="D26" s="14">
        <v>606800</v>
      </c>
      <c r="E26" s="32">
        <f t="shared" si="19"/>
        <v>60680</v>
      </c>
      <c r="F26" s="14">
        <f t="shared" si="20"/>
        <v>10</v>
      </c>
      <c r="G26" s="14">
        <v>10</v>
      </c>
      <c r="H26" s="14">
        <v>2</v>
      </c>
      <c r="I26" s="14">
        <v>2</v>
      </c>
      <c r="J26" s="14">
        <v>1</v>
      </c>
      <c r="K26" s="14">
        <v>1</v>
      </c>
      <c r="L26" s="28">
        <v>428</v>
      </c>
      <c r="M26" s="28">
        <v>65</v>
      </c>
      <c r="N26" s="28">
        <v>49</v>
      </c>
      <c r="O26" s="28">
        <v>48</v>
      </c>
      <c r="P26" s="28">
        <v>57</v>
      </c>
      <c r="Q26" s="28">
        <v>12123</v>
      </c>
      <c r="R26" s="28">
        <v>1511</v>
      </c>
      <c r="S26" s="28">
        <v>1395</v>
      </c>
      <c r="T26" s="28">
        <v>1444</v>
      </c>
      <c r="U26" s="28">
        <v>1277</v>
      </c>
      <c r="V26" s="28">
        <v>63</v>
      </c>
      <c r="W26" s="28">
        <v>9</v>
      </c>
      <c r="X26" s="28">
        <v>11</v>
      </c>
      <c r="Y26" s="28">
        <v>11</v>
      </c>
      <c r="Z26" s="28">
        <v>2</v>
      </c>
      <c r="AA26" s="26">
        <v>1</v>
      </c>
      <c r="AB26" s="26">
        <v>0</v>
      </c>
      <c r="AC26" s="26">
        <v>0</v>
      </c>
      <c r="AD26" s="26">
        <v>0</v>
      </c>
      <c r="AE26" s="26">
        <v>0</v>
      </c>
      <c r="AF26" s="33">
        <f t="shared" si="9"/>
        <v>1.7000000000000002</v>
      </c>
      <c r="AG26" s="33">
        <f t="shared" si="10"/>
        <v>1.308411214953271</v>
      </c>
      <c r="AH26" s="33">
        <f t="shared" si="11"/>
        <v>1.1873298688443454</v>
      </c>
      <c r="AI26" s="33">
        <f t="shared" si="12"/>
        <v>1.4761904761904758</v>
      </c>
      <c r="AJ26" s="33">
        <f t="shared" si="13"/>
        <v>0</v>
      </c>
      <c r="AK26" s="33">
        <f t="shared" si="21"/>
        <v>0.88784011501160709</v>
      </c>
      <c r="AL26" s="40">
        <f t="shared" si="22"/>
        <v>0.78784731238639316</v>
      </c>
      <c r="AM26" s="40">
        <f t="shared" si="23"/>
        <v>7.7887197851387674E-2</v>
      </c>
      <c r="AN26" s="35"/>
      <c r="AO26" s="34">
        <f t="shared" si="16"/>
        <v>76.500000000000014</v>
      </c>
      <c r="AP26" s="34">
        <f t="shared" si="1"/>
        <v>45.794392523364486</v>
      </c>
      <c r="AQ26" s="34">
        <f t="shared" si="2"/>
        <v>9.4986389507547635</v>
      </c>
      <c r="AR26" s="34">
        <f t="shared" si="3"/>
        <v>8.8571428571428541</v>
      </c>
      <c r="AS26" s="34">
        <f t="shared" si="4"/>
        <v>0</v>
      </c>
      <c r="AT26" s="34">
        <f t="shared" si="5"/>
        <v>4.4392005750580354</v>
      </c>
      <c r="AU26" s="34">
        <f t="shared" si="6"/>
        <v>3.939236561931966</v>
      </c>
      <c r="AV26" s="34">
        <f t="shared" si="7"/>
        <v>0.77887197851387668</v>
      </c>
      <c r="AW26" s="92">
        <f t="shared" si="17"/>
        <v>131.4517016388684</v>
      </c>
      <c r="AX26" s="34"/>
      <c r="AY26" s="13">
        <v>10</v>
      </c>
      <c r="AZ26" s="86">
        <v>106.90863954285096</v>
      </c>
      <c r="BA26" s="36"/>
      <c r="BB26" s="36"/>
    </row>
    <row r="27" spans="1:54" s="28" customFormat="1" ht="17.45" customHeight="1">
      <c r="A27" s="51">
        <v>10</v>
      </c>
      <c r="B27" s="44" t="s">
        <v>55</v>
      </c>
      <c r="C27" s="39">
        <v>50</v>
      </c>
      <c r="D27" s="14">
        <v>381400</v>
      </c>
      <c r="E27" s="32">
        <f t="shared" si="19"/>
        <v>38140</v>
      </c>
      <c r="F27" s="14">
        <f t="shared" si="20"/>
        <v>10</v>
      </c>
      <c r="G27" s="14">
        <v>10</v>
      </c>
      <c r="H27" s="14">
        <v>3</v>
      </c>
      <c r="I27" s="14">
        <v>0</v>
      </c>
      <c r="J27" s="14">
        <v>2</v>
      </c>
      <c r="K27" s="14">
        <v>0</v>
      </c>
      <c r="L27" s="28">
        <v>107</v>
      </c>
      <c r="M27" s="28">
        <v>6</v>
      </c>
      <c r="N27" s="28">
        <v>11</v>
      </c>
      <c r="O27" s="28">
        <v>8</v>
      </c>
      <c r="P27" s="28">
        <v>7</v>
      </c>
      <c r="Q27" s="28">
        <v>14421</v>
      </c>
      <c r="R27" s="28">
        <v>1830</v>
      </c>
      <c r="S27" s="28">
        <v>1734</v>
      </c>
      <c r="T27" s="28">
        <v>1760</v>
      </c>
      <c r="U27" s="28">
        <v>1697</v>
      </c>
      <c r="V27" s="28">
        <v>21</v>
      </c>
      <c r="W27" s="28">
        <v>3</v>
      </c>
      <c r="X27" s="28">
        <v>0</v>
      </c>
      <c r="Y27" s="28">
        <v>2</v>
      </c>
      <c r="Z27" s="28">
        <v>3</v>
      </c>
      <c r="AA27" s="26">
        <v>215</v>
      </c>
      <c r="AB27" s="26">
        <v>26</v>
      </c>
      <c r="AC27" s="26">
        <v>14</v>
      </c>
      <c r="AD27" s="26">
        <v>17</v>
      </c>
      <c r="AE27" s="26">
        <v>34</v>
      </c>
      <c r="AF27" s="33">
        <f t="shared" si="9"/>
        <v>1.6</v>
      </c>
      <c r="AG27" s="33">
        <f t="shared" si="10"/>
        <v>0.74766355140186913</v>
      </c>
      <c r="AH27" s="33">
        <f t="shared" si="11"/>
        <v>1.2300811316829623</v>
      </c>
      <c r="AI27" s="33">
        <f t="shared" si="12"/>
        <v>0.90476190476190466</v>
      </c>
      <c r="AJ27" s="33">
        <f t="shared" si="13"/>
        <v>0.99534883720930223</v>
      </c>
      <c r="AK27" s="33">
        <f t="shared" si="21"/>
        <v>1.0433972912180562</v>
      </c>
      <c r="AL27" s="40">
        <f t="shared" si="22"/>
        <v>0.4951960529732537</v>
      </c>
      <c r="AM27" s="40">
        <f t="shared" si="23"/>
        <v>0.10474485228290065</v>
      </c>
      <c r="AN27" s="35"/>
      <c r="AO27" s="34">
        <f t="shared" si="16"/>
        <v>72</v>
      </c>
      <c r="AP27" s="34">
        <f t="shared" si="1"/>
        <v>26.168224299065418</v>
      </c>
      <c r="AQ27" s="34">
        <f t="shared" si="2"/>
        <v>9.8406490534636983</v>
      </c>
      <c r="AR27" s="34">
        <f t="shared" si="3"/>
        <v>5.4285714285714279</v>
      </c>
      <c r="AS27" s="34">
        <f t="shared" si="4"/>
        <v>1.9906976744186045</v>
      </c>
      <c r="AT27" s="34">
        <f t="shared" si="5"/>
        <v>5.2169864560902814</v>
      </c>
      <c r="AU27" s="34">
        <f t="shared" si="6"/>
        <v>2.4759802648662683</v>
      </c>
      <c r="AV27" s="34">
        <f t="shared" si="7"/>
        <v>1.0474485228290065</v>
      </c>
      <c r="AW27" s="92">
        <f t="shared" si="17"/>
        <v>106.90863954285096</v>
      </c>
      <c r="AX27" s="34"/>
      <c r="AY27" s="13">
        <v>7</v>
      </c>
      <c r="AZ27" s="86">
        <v>105.08774655704067</v>
      </c>
      <c r="BA27" s="36"/>
      <c r="BB27" s="36"/>
    </row>
    <row r="28" spans="1:54" s="28" customFormat="1">
      <c r="A28" s="52"/>
      <c r="B28" s="53"/>
      <c r="C28" s="39"/>
      <c r="D28" s="14"/>
      <c r="E28" s="32"/>
      <c r="AF28" s="33" t="e">
        <f t="shared" si="9"/>
        <v>#DIV/0!</v>
      </c>
      <c r="AG28" s="33" t="e">
        <f t="shared" si="10"/>
        <v>#DIV/0!</v>
      </c>
      <c r="AH28" s="33" t="e">
        <f t="shared" si="11"/>
        <v>#DIV/0!</v>
      </c>
      <c r="AI28" s="33" t="e">
        <f t="shared" si="12"/>
        <v>#DIV/0!</v>
      </c>
      <c r="AJ28" s="33" t="e">
        <f t="shared" si="13"/>
        <v>#DIV/0!</v>
      </c>
      <c r="AK28" s="33"/>
      <c r="AL28" s="34"/>
      <c r="AM28" s="34"/>
      <c r="AN28" s="35"/>
      <c r="AO28" s="34" t="e">
        <f t="shared" si="16"/>
        <v>#DIV/0!</v>
      </c>
      <c r="AP28" s="34" t="e">
        <f t="shared" si="1"/>
        <v>#DIV/0!</v>
      </c>
      <c r="AQ28" s="34" t="e">
        <f t="shared" si="2"/>
        <v>#DIV/0!</v>
      </c>
      <c r="AR28" s="34" t="e">
        <f t="shared" si="3"/>
        <v>#DIV/0!</v>
      </c>
      <c r="AS28" s="34" t="e">
        <f t="shared" si="4"/>
        <v>#DIV/0!</v>
      </c>
      <c r="AT28" s="34">
        <f t="shared" si="5"/>
        <v>0</v>
      </c>
      <c r="AU28" s="34">
        <f t="shared" si="6"/>
        <v>0</v>
      </c>
      <c r="AV28" s="34">
        <f t="shared" si="7"/>
        <v>0</v>
      </c>
      <c r="AW28" s="92" t="e">
        <f t="shared" si="17"/>
        <v>#DIV/0!</v>
      </c>
      <c r="AX28" s="27"/>
      <c r="BA28" s="54"/>
      <c r="BB28" s="54"/>
    </row>
    <row r="29" spans="1:54" s="28" customFormat="1">
      <c r="A29" s="29"/>
      <c r="B29" s="30" t="s">
        <v>56</v>
      </c>
      <c r="C29" s="31">
        <v>3</v>
      </c>
      <c r="D29" s="14"/>
      <c r="E29" s="32"/>
      <c r="AF29" s="33" t="e">
        <f t="shared" si="9"/>
        <v>#DIV/0!</v>
      </c>
      <c r="AG29" s="33" t="e">
        <f t="shared" si="10"/>
        <v>#DIV/0!</v>
      </c>
      <c r="AH29" s="33" t="e">
        <f t="shared" si="11"/>
        <v>#DIV/0!</v>
      </c>
      <c r="AI29" s="33" t="e">
        <f t="shared" si="12"/>
        <v>#DIV/0!</v>
      </c>
      <c r="AJ29" s="33" t="e">
        <f t="shared" si="13"/>
        <v>#DIV/0!</v>
      </c>
      <c r="AK29" s="33"/>
      <c r="AL29" s="34"/>
      <c r="AM29" s="34"/>
      <c r="AN29" s="35"/>
      <c r="AO29" s="34" t="e">
        <f t="shared" si="16"/>
        <v>#DIV/0!</v>
      </c>
      <c r="AP29" s="34" t="e">
        <f t="shared" si="1"/>
        <v>#DIV/0!</v>
      </c>
      <c r="AQ29" s="34" t="e">
        <f t="shared" si="2"/>
        <v>#DIV/0!</v>
      </c>
      <c r="AR29" s="34" t="e">
        <f t="shared" si="3"/>
        <v>#DIV/0!</v>
      </c>
      <c r="AS29" s="34" t="e">
        <f t="shared" si="4"/>
        <v>#DIV/0!</v>
      </c>
      <c r="AT29" s="34">
        <f t="shared" si="5"/>
        <v>0</v>
      </c>
      <c r="AU29" s="34">
        <f t="shared" si="6"/>
        <v>0</v>
      </c>
      <c r="AV29" s="34">
        <f t="shared" si="7"/>
        <v>0</v>
      </c>
      <c r="AW29" s="92" t="e">
        <f t="shared" si="17"/>
        <v>#DIV/0!</v>
      </c>
      <c r="AX29" s="27"/>
      <c r="BA29" s="54"/>
      <c r="BB29" s="54"/>
    </row>
    <row r="30" spans="1:54" s="28" customFormat="1">
      <c r="A30" s="49">
        <v>1</v>
      </c>
      <c r="B30" s="42" t="s">
        <v>57</v>
      </c>
      <c r="C30" s="39">
        <v>54</v>
      </c>
      <c r="D30" s="14">
        <v>16000</v>
      </c>
      <c r="E30" s="32">
        <f t="shared" ref="E30:E37" si="24">D30/F30</f>
        <v>16000</v>
      </c>
      <c r="F30" s="28">
        <v>1</v>
      </c>
      <c r="G30" s="14">
        <v>1</v>
      </c>
      <c r="H30" s="14">
        <v>0</v>
      </c>
      <c r="I30" s="14">
        <v>0</v>
      </c>
      <c r="J30" s="14">
        <v>0</v>
      </c>
      <c r="K30" s="14">
        <v>0</v>
      </c>
      <c r="L30" s="28">
        <v>179</v>
      </c>
      <c r="M30" s="28">
        <v>24</v>
      </c>
      <c r="N30" s="28">
        <v>15</v>
      </c>
      <c r="O30" s="28">
        <v>13</v>
      </c>
      <c r="P30" s="28">
        <v>21</v>
      </c>
      <c r="Q30" s="28">
        <v>481</v>
      </c>
      <c r="R30" s="28">
        <v>56</v>
      </c>
      <c r="S30" s="28">
        <v>47</v>
      </c>
      <c r="T30" s="28">
        <v>56</v>
      </c>
      <c r="U30" s="28">
        <v>35</v>
      </c>
      <c r="V30" s="28">
        <v>18</v>
      </c>
      <c r="W30" s="28">
        <v>1</v>
      </c>
      <c r="X30" s="28">
        <v>1</v>
      </c>
      <c r="Y30" s="28">
        <v>1</v>
      </c>
      <c r="Z30" s="28">
        <v>3</v>
      </c>
      <c r="AA30" s="26">
        <v>1447</v>
      </c>
      <c r="AB30" s="26">
        <v>121</v>
      </c>
      <c r="AC30" s="26">
        <v>118</v>
      </c>
      <c r="AD30" s="26">
        <v>135</v>
      </c>
      <c r="AE30" s="26">
        <v>129</v>
      </c>
      <c r="AF30" s="33">
        <f t="shared" si="9"/>
        <v>0</v>
      </c>
      <c r="AG30" s="33">
        <f t="shared" si="10"/>
        <v>1.0502793296089385</v>
      </c>
      <c r="AH30" s="33">
        <f t="shared" si="11"/>
        <v>1.0644490644490645</v>
      </c>
      <c r="AI30" s="33">
        <f t="shared" si="12"/>
        <v>0.66666666666666663</v>
      </c>
      <c r="AJ30" s="33">
        <f t="shared" si="13"/>
        <v>0.85487214927436073</v>
      </c>
      <c r="AK30" s="33">
        <f t="shared" ref="AK30:AK37" si="25">AVERAGE(AH30:AJ30)</f>
        <v>0.86199596013003055</v>
      </c>
      <c r="AL30" s="40">
        <f>E30/MAX($E$30:$E$37)</f>
        <v>0.125</v>
      </c>
      <c r="AM30" s="40">
        <f>(AVERAGE($C$30:$C$37)-C30)/AVERAGE($C$30:$C$37)</f>
        <v>4.2128603104212861E-2</v>
      </c>
      <c r="AN30" s="35"/>
      <c r="AO30" s="34">
        <f t="shared" si="16"/>
        <v>0</v>
      </c>
      <c r="AP30" s="34">
        <f t="shared" si="1"/>
        <v>36.759776536312849</v>
      </c>
      <c r="AQ30" s="34">
        <f t="shared" si="2"/>
        <v>8.5155925155925161</v>
      </c>
      <c r="AR30" s="34">
        <f t="shared" si="3"/>
        <v>4</v>
      </c>
      <c r="AS30" s="34">
        <f t="shared" si="4"/>
        <v>1.7097442985487215</v>
      </c>
      <c r="AT30" s="34">
        <f t="shared" si="5"/>
        <v>4.3099798006501526</v>
      </c>
      <c r="AU30" s="34">
        <f t="shared" si="6"/>
        <v>0.625</v>
      </c>
      <c r="AV30" s="34">
        <f t="shared" si="7"/>
        <v>0.42128603104212858</v>
      </c>
      <c r="AW30" s="92">
        <f t="shared" si="17"/>
        <v>42.116042368005132</v>
      </c>
      <c r="AX30" s="34"/>
      <c r="AY30" s="89">
        <v>6</v>
      </c>
      <c r="AZ30" s="86">
        <v>185.9137948141439</v>
      </c>
      <c r="BA30" s="36"/>
      <c r="BB30" s="36"/>
    </row>
    <row r="31" spans="1:54" s="28" customFormat="1">
      <c r="A31" s="50">
        <v>2</v>
      </c>
      <c r="B31" s="38" t="s">
        <v>58</v>
      </c>
      <c r="C31" s="39">
        <v>57</v>
      </c>
      <c r="D31" s="14">
        <v>130900</v>
      </c>
      <c r="E31" s="32">
        <f t="shared" si="24"/>
        <v>65450</v>
      </c>
      <c r="F31" s="28">
        <v>2</v>
      </c>
      <c r="G31" s="14">
        <v>2</v>
      </c>
      <c r="H31" s="14">
        <v>0</v>
      </c>
      <c r="I31" s="14">
        <v>1</v>
      </c>
      <c r="J31" s="14">
        <v>0</v>
      </c>
      <c r="K31" s="14">
        <v>1</v>
      </c>
      <c r="L31" s="28">
        <v>107</v>
      </c>
      <c r="M31" s="28">
        <v>8</v>
      </c>
      <c r="N31" s="28">
        <v>8</v>
      </c>
      <c r="O31" s="28">
        <v>12</v>
      </c>
      <c r="P31" s="28">
        <v>10</v>
      </c>
      <c r="Q31" s="28">
        <v>555</v>
      </c>
      <c r="R31" s="28">
        <v>69</v>
      </c>
      <c r="S31" s="28">
        <v>60</v>
      </c>
      <c r="T31" s="28">
        <v>48</v>
      </c>
      <c r="U31" s="28">
        <v>48</v>
      </c>
      <c r="V31" s="28">
        <v>30</v>
      </c>
      <c r="W31" s="28">
        <v>8</v>
      </c>
      <c r="X31" s="28">
        <v>6</v>
      </c>
      <c r="Y31" s="28">
        <v>4</v>
      </c>
      <c r="Z31" s="28">
        <v>5</v>
      </c>
      <c r="AA31" s="26">
        <v>5789</v>
      </c>
      <c r="AB31" s="26">
        <v>604</v>
      </c>
      <c r="AC31" s="26">
        <v>553</v>
      </c>
      <c r="AD31" s="26">
        <v>556</v>
      </c>
      <c r="AE31" s="26">
        <v>571</v>
      </c>
      <c r="AF31" s="33">
        <f t="shared" si="9"/>
        <v>2</v>
      </c>
      <c r="AG31" s="33">
        <f t="shared" si="10"/>
        <v>0.84112149532710279</v>
      </c>
      <c r="AH31" s="33">
        <f t="shared" si="11"/>
        <v>1.0810810810810811</v>
      </c>
      <c r="AI31" s="33">
        <f t="shared" si="12"/>
        <v>2.1</v>
      </c>
      <c r="AJ31" s="33">
        <f t="shared" si="13"/>
        <v>0.99464501641043368</v>
      </c>
      <c r="AK31" s="33">
        <f t="shared" si="25"/>
        <v>1.3919086991638381</v>
      </c>
      <c r="AL31" s="40">
        <f t="shared" ref="AL31:AL37" si="26">E31/MAX($E$30:$E$37)</f>
        <v>0.51132812500000002</v>
      </c>
      <c r="AM31" s="40">
        <f t="shared" ref="AM31:AM37" si="27">(AVERAGE($C$30:$C$37)-C31)/AVERAGE($C$30:$C$37)</f>
        <v>-1.1086474501108648E-2</v>
      </c>
      <c r="AN31" s="35"/>
      <c r="AO31" s="34">
        <f t="shared" si="16"/>
        <v>90</v>
      </c>
      <c r="AP31" s="34">
        <f t="shared" si="1"/>
        <v>29.439252336448597</v>
      </c>
      <c r="AQ31" s="34">
        <f t="shared" si="2"/>
        <v>8.6486486486486491</v>
      </c>
      <c r="AR31" s="34">
        <f t="shared" si="3"/>
        <v>12.600000000000001</v>
      </c>
      <c r="AS31" s="34">
        <f t="shared" si="4"/>
        <v>1.9892900328208674</v>
      </c>
      <c r="AT31" s="34">
        <f t="shared" si="5"/>
        <v>6.9595434958191902</v>
      </c>
      <c r="AU31" s="34">
        <f t="shared" si="6"/>
        <v>2.556640625</v>
      </c>
      <c r="AV31" s="34">
        <f t="shared" si="7"/>
        <v>-0.11086474501108648</v>
      </c>
      <c r="AW31" s="92">
        <f t="shared" si="17"/>
        <v>128.84457171225668</v>
      </c>
      <c r="AX31" s="34"/>
      <c r="AY31" s="89">
        <v>5</v>
      </c>
      <c r="AZ31" s="86">
        <v>168.48155629209793</v>
      </c>
      <c r="BA31" s="36"/>
      <c r="BB31" s="36"/>
    </row>
    <row r="32" spans="1:54" s="28" customFormat="1">
      <c r="A32" s="49">
        <v>3</v>
      </c>
      <c r="B32" s="42" t="s">
        <v>59</v>
      </c>
      <c r="C32" s="39">
        <v>57</v>
      </c>
      <c r="D32" s="14">
        <v>16000</v>
      </c>
      <c r="E32" s="32">
        <f t="shared" si="24"/>
        <v>16000</v>
      </c>
      <c r="F32" s="28">
        <v>1</v>
      </c>
      <c r="G32" s="14">
        <v>1</v>
      </c>
      <c r="H32" s="14">
        <v>0</v>
      </c>
      <c r="I32" s="14">
        <v>0</v>
      </c>
      <c r="J32" s="14">
        <v>0</v>
      </c>
      <c r="K32" s="14">
        <v>0</v>
      </c>
      <c r="L32" s="28">
        <v>270</v>
      </c>
      <c r="M32" s="28">
        <v>59</v>
      </c>
      <c r="N32" s="28">
        <v>56</v>
      </c>
      <c r="O32" s="28">
        <v>38</v>
      </c>
      <c r="P32" s="28">
        <v>36</v>
      </c>
      <c r="Q32" s="28">
        <v>1416</v>
      </c>
      <c r="R32" s="28">
        <v>118</v>
      </c>
      <c r="S32" s="28">
        <v>125</v>
      </c>
      <c r="T32" s="28">
        <v>132</v>
      </c>
      <c r="U32" s="28">
        <v>114</v>
      </c>
      <c r="V32" s="28">
        <v>145</v>
      </c>
      <c r="W32" s="28">
        <v>9</v>
      </c>
      <c r="X32" s="28">
        <v>22</v>
      </c>
      <c r="Y32" s="28">
        <v>18</v>
      </c>
      <c r="Z32" s="28">
        <v>12</v>
      </c>
      <c r="AA32" s="26">
        <v>3548</v>
      </c>
      <c r="AB32" s="26">
        <v>321</v>
      </c>
      <c r="AC32" s="26">
        <v>326</v>
      </c>
      <c r="AD32" s="26">
        <v>347</v>
      </c>
      <c r="AE32" s="26">
        <v>317</v>
      </c>
      <c r="AF32" s="33">
        <f t="shared" si="9"/>
        <v>0</v>
      </c>
      <c r="AG32" s="33">
        <f t="shared" si="10"/>
        <v>1.9111111111111112</v>
      </c>
      <c r="AH32" s="33">
        <f t="shared" si="11"/>
        <v>0.86511299435028244</v>
      </c>
      <c r="AI32" s="33">
        <f t="shared" si="12"/>
        <v>1.0344827586206897</v>
      </c>
      <c r="AJ32" s="33">
        <f t="shared" si="13"/>
        <v>0.92249154453213089</v>
      </c>
      <c r="AK32" s="33">
        <f t="shared" si="25"/>
        <v>0.94069576583436765</v>
      </c>
      <c r="AL32" s="40">
        <f t="shared" si="26"/>
        <v>0.125</v>
      </c>
      <c r="AM32" s="40">
        <f t="shared" si="27"/>
        <v>-1.1086474501108648E-2</v>
      </c>
      <c r="AN32" s="35"/>
      <c r="AO32" s="34">
        <f t="shared" si="16"/>
        <v>0</v>
      </c>
      <c r="AP32" s="34">
        <f t="shared" si="1"/>
        <v>66.888888888888886</v>
      </c>
      <c r="AQ32" s="34">
        <f t="shared" si="2"/>
        <v>6.9209039548022595</v>
      </c>
      <c r="AR32" s="34">
        <f t="shared" si="3"/>
        <v>6.2068965517241388</v>
      </c>
      <c r="AS32" s="34">
        <f t="shared" si="4"/>
        <v>1.8449830890642618</v>
      </c>
      <c r="AT32" s="34">
        <f t="shared" si="5"/>
        <v>4.7034788291718383</v>
      </c>
      <c r="AU32" s="34">
        <f t="shared" si="6"/>
        <v>0.625</v>
      </c>
      <c r="AV32" s="34">
        <f t="shared" si="7"/>
        <v>-0.11086474501108648</v>
      </c>
      <c r="AW32" s="92">
        <f t="shared" si="17"/>
        <v>72.106502973049643</v>
      </c>
      <c r="AX32" s="34"/>
      <c r="AY32" s="89">
        <v>4</v>
      </c>
      <c r="AZ32" s="86">
        <v>148.20297498596349</v>
      </c>
      <c r="BA32" s="36"/>
      <c r="BB32" s="36"/>
    </row>
    <row r="33" spans="1:54" s="28" customFormat="1">
      <c r="A33" s="50">
        <v>4</v>
      </c>
      <c r="B33" s="38" t="s">
        <v>60</v>
      </c>
      <c r="C33" s="39">
        <v>57</v>
      </c>
      <c r="D33" s="14">
        <v>54600</v>
      </c>
      <c r="E33" s="32">
        <f t="shared" si="24"/>
        <v>54600</v>
      </c>
      <c r="F33" s="28">
        <v>1</v>
      </c>
      <c r="G33" s="14">
        <v>1</v>
      </c>
      <c r="H33" s="14">
        <v>0</v>
      </c>
      <c r="I33" s="14">
        <v>0</v>
      </c>
      <c r="J33" s="14">
        <v>1</v>
      </c>
      <c r="K33" s="14">
        <v>0</v>
      </c>
      <c r="L33" s="28">
        <v>301</v>
      </c>
      <c r="M33" s="28">
        <v>37</v>
      </c>
      <c r="N33" s="28">
        <v>40</v>
      </c>
      <c r="O33" s="28">
        <v>61</v>
      </c>
      <c r="P33" s="28">
        <v>41</v>
      </c>
      <c r="Q33" s="28">
        <v>14037</v>
      </c>
      <c r="R33" s="28">
        <v>1795</v>
      </c>
      <c r="S33" s="28">
        <v>1680</v>
      </c>
      <c r="T33" s="28">
        <v>1464</v>
      </c>
      <c r="U33" s="28">
        <v>1422</v>
      </c>
      <c r="V33" s="28">
        <v>89</v>
      </c>
      <c r="W33" s="28">
        <v>16</v>
      </c>
      <c r="X33" s="28">
        <v>9</v>
      </c>
      <c r="Y33" s="28">
        <v>16</v>
      </c>
      <c r="Z33" s="28">
        <v>5</v>
      </c>
      <c r="AA33" s="26">
        <v>14360</v>
      </c>
      <c r="AB33" s="26">
        <v>1509</v>
      </c>
      <c r="AC33" s="26">
        <v>1475</v>
      </c>
      <c r="AD33" s="26">
        <v>1390</v>
      </c>
      <c r="AE33" s="26">
        <v>1409</v>
      </c>
      <c r="AF33" s="33">
        <f t="shared" si="9"/>
        <v>2</v>
      </c>
      <c r="AG33" s="33">
        <f t="shared" si="10"/>
        <v>1.4318936877076411</v>
      </c>
      <c r="AH33" s="33">
        <f t="shared" si="11"/>
        <v>1.1804516634608533</v>
      </c>
      <c r="AI33" s="33">
        <f t="shared" si="12"/>
        <v>1.4382022471910112</v>
      </c>
      <c r="AJ33" s="33">
        <f t="shared" si="13"/>
        <v>1.0201949860724233</v>
      </c>
      <c r="AK33" s="33">
        <f t="shared" si="25"/>
        <v>1.2129496322414293</v>
      </c>
      <c r="AL33" s="40">
        <f t="shared" si="26"/>
        <v>0.42656250000000001</v>
      </c>
      <c r="AM33" s="40">
        <f t="shared" si="27"/>
        <v>-1.1086474501108648E-2</v>
      </c>
      <c r="AN33" s="35"/>
      <c r="AO33" s="34">
        <f t="shared" si="16"/>
        <v>90</v>
      </c>
      <c r="AP33" s="34">
        <f t="shared" si="1"/>
        <v>50.116279069767437</v>
      </c>
      <c r="AQ33" s="34">
        <f t="shared" si="2"/>
        <v>9.4436133076868263</v>
      </c>
      <c r="AR33" s="34">
        <f t="shared" si="3"/>
        <v>8.6292134831460672</v>
      </c>
      <c r="AS33" s="34">
        <f t="shared" si="4"/>
        <v>2.0403899721448466</v>
      </c>
      <c r="AT33" s="34">
        <f t="shared" si="5"/>
        <v>6.0647481612071461</v>
      </c>
      <c r="AU33" s="34">
        <f t="shared" si="6"/>
        <v>2.1328125</v>
      </c>
      <c r="AV33" s="34">
        <f t="shared" si="7"/>
        <v>-0.11086474501108648</v>
      </c>
      <c r="AW33" s="92">
        <f t="shared" si="17"/>
        <v>148.20297498596349</v>
      </c>
      <c r="AX33" s="34"/>
      <c r="AY33" s="89">
        <v>7</v>
      </c>
      <c r="AZ33" s="86">
        <v>130.49916664563639</v>
      </c>
      <c r="BA33" s="36"/>
      <c r="BB33" s="36"/>
    </row>
    <row r="34" spans="1:54" s="28" customFormat="1">
      <c r="A34" s="49">
        <v>5</v>
      </c>
      <c r="B34" s="42" t="s">
        <v>61</v>
      </c>
      <c r="C34" s="39">
        <v>57</v>
      </c>
      <c r="D34" s="14">
        <v>64000</v>
      </c>
      <c r="E34" s="32">
        <f t="shared" si="24"/>
        <v>64000</v>
      </c>
      <c r="F34" s="28">
        <v>1</v>
      </c>
      <c r="G34" s="14">
        <v>1</v>
      </c>
      <c r="H34" s="14">
        <v>0</v>
      </c>
      <c r="I34" s="14">
        <v>0</v>
      </c>
      <c r="J34" s="14">
        <v>1</v>
      </c>
      <c r="K34" s="14">
        <v>0</v>
      </c>
      <c r="L34" s="28">
        <v>344</v>
      </c>
      <c r="M34" s="28">
        <v>90</v>
      </c>
      <c r="N34" s="28">
        <v>60</v>
      </c>
      <c r="O34" s="28">
        <v>53</v>
      </c>
      <c r="P34" s="28">
        <v>45</v>
      </c>
      <c r="Q34" s="28">
        <v>7006</v>
      </c>
      <c r="R34" s="28">
        <v>803</v>
      </c>
      <c r="S34" s="28">
        <v>777</v>
      </c>
      <c r="T34" s="28">
        <v>835</v>
      </c>
      <c r="U34" s="28">
        <v>813</v>
      </c>
      <c r="V34" s="28">
        <v>136</v>
      </c>
      <c r="W34" s="28">
        <v>27</v>
      </c>
      <c r="X34" s="28">
        <v>9</v>
      </c>
      <c r="Y34" s="28">
        <v>14</v>
      </c>
      <c r="Z34" s="28">
        <v>11</v>
      </c>
      <c r="AA34" s="26">
        <v>2790</v>
      </c>
      <c r="AB34" s="26">
        <v>303</v>
      </c>
      <c r="AC34" s="26">
        <v>291</v>
      </c>
      <c r="AD34" s="26">
        <v>274</v>
      </c>
      <c r="AE34" s="26">
        <v>289</v>
      </c>
      <c r="AF34" s="33">
        <f t="shared" si="9"/>
        <v>2</v>
      </c>
      <c r="AG34" s="33">
        <f t="shared" si="10"/>
        <v>2.0087209302325584</v>
      </c>
      <c r="AH34" s="33">
        <f t="shared" si="11"/>
        <v>1.1455894947188123</v>
      </c>
      <c r="AI34" s="33">
        <f t="shared" si="12"/>
        <v>1.2794117647058822</v>
      </c>
      <c r="AJ34" s="33">
        <f t="shared" si="13"/>
        <v>1.0473118279569893</v>
      </c>
      <c r="AK34" s="33">
        <f t="shared" si="25"/>
        <v>1.1574376957938945</v>
      </c>
      <c r="AL34" s="40">
        <f t="shared" si="26"/>
        <v>0.5</v>
      </c>
      <c r="AM34" s="40">
        <f t="shared" si="27"/>
        <v>-1.1086474501108648E-2</v>
      </c>
      <c r="AN34" s="35"/>
      <c r="AO34" s="34">
        <f t="shared" si="16"/>
        <v>90</v>
      </c>
      <c r="AP34" s="34">
        <f t="shared" si="1"/>
        <v>70.305232558139537</v>
      </c>
      <c r="AQ34" s="34">
        <f t="shared" si="2"/>
        <v>9.1647159577504986</v>
      </c>
      <c r="AR34" s="34">
        <f t="shared" si="3"/>
        <v>7.6764705882352935</v>
      </c>
      <c r="AS34" s="34">
        <f t="shared" si="4"/>
        <v>2.0946236559139786</v>
      </c>
      <c r="AT34" s="34">
        <f t="shared" si="5"/>
        <v>5.7871884789694725</v>
      </c>
      <c r="AU34" s="34">
        <f t="shared" si="6"/>
        <v>2.5</v>
      </c>
      <c r="AV34" s="34">
        <f t="shared" si="7"/>
        <v>-0.11086474501108648</v>
      </c>
      <c r="AW34" s="92">
        <f t="shared" si="17"/>
        <v>168.48155629209793</v>
      </c>
      <c r="AX34" s="34"/>
      <c r="AY34" s="89">
        <v>2</v>
      </c>
      <c r="AZ34" s="86">
        <v>128.84457171225668</v>
      </c>
      <c r="BA34" s="36"/>
      <c r="BB34" s="36"/>
    </row>
    <row r="35" spans="1:54" s="28" customFormat="1">
      <c r="A35" s="50">
        <v>6</v>
      </c>
      <c r="B35" s="38" t="s">
        <v>62</v>
      </c>
      <c r="C35" s="39">
        <v>57</v>
      </c>
      <c r="D35" s="14">
        <v>128000</v>
      </c>
      <c r="E35" s="32">
        <f t="shared" si="24"/>
        <v>128000</v>
      </c>
      <c r="F35" s="28">
        <v>1</v>
      </c>
      <c r="G35" s="14">
        <v>1</v>
      </c>
      <c r="H35" s="14">
        <v>0</v>
      </c>
      <c r="I35" s="14">
        <v>1</v>
      </c>
      <c r="J35" s="14">
        <v>0</v>
      </c>
      <c r="K35" s="14">
        <v>0</v>
      </c>
      <c r="L35" s="28">
        <v>9013</v>
      </c>
      <c r="M35" s="28">
        <v>1152</v>
      </c>
      <c r="N35" s="28">
        <v>1103</v>
      </c>
      <c r="O35" s="28">
        <v>1146</v>
      </c>
      <c r="P35" s="28">
        <v>1069</v>
      </c>
      <c r="Q35" s="28">
        <v>373</v>
      </c>
      <c r="R35" s="28">
        <v>35</v>
      </c>
      <c r="S35" s="28">
        <v>37</v>
      </c>
      <c r="T35" s="28">
        <v>27</v>
      </c>
      <c r="U35" s="28">
        <v>34</v>
      </c>
      <c r="V35" s="28">
        <v>7</v>
      </c>
      <c r="W35" s="28">
        <v>0</v>
      </c>
      <c r="X35" s="28">
        <v>1</v>
      </c>
      <c r="Y35" s="28">
        <v>0</v>
      </c>
      <c r="Z35" s="28">
        <v>0</v>
      </c>
      <c r="AA35" s="26">
        <v>1</v>
      </c>
      <c r="AB35" s="26">
        <v>0</v>
      </c>
      <c r="AC35" s="26">
        <v>0</v>
      </c>
      <c r="AD35" s="26">
        <v>0</v>
      </c>
      <c r="AE35" s="26">
        <v>0</v>
      </c>
      <c r="AF35" s="33">
        <f t="shared" si="9"/>
        <v>3</v>
      </c>
      <c r="AG35" s="33">
        <f t="shared" si="10"/>
        <v>1.2513036724730944</v>
      </c>
      <c r="AH35" s="33">
        <f t="shared" si="11"/>
        <v>0.90884718498659511</v>
      </c>
      <c r="AI35" s="33">
        <f t="shared" si="12"/>
        <v>0.42857142857142855</v>
      </c>
      <c r="AJ35" s="33">
        <f t="shared" si="13"/>
        <v>0</v>
      </c>
      <c r="AK35" s="33">
        <f t="shared" si="25"/>
        <v>0.44580620451934122</v>
      </c>
      <c r="AL35" s="40">
        <f t="shared" si="26"/>
        <v>1</v>
      </c>
      <c r="AM35" s="40">
        <f t="shared" si="27"/>
        <v>-1.1086474501108648E-2</v>
      </c>
      <c r="AN35" s="35"/>
      <c r="AO35" s="34">
        <f t="shared" si="16"/>
        <v>135</v>
      </c>
      <c r="AP35" s="34">
        <f t="shared" si="1"/>
        <v>43.795628536558304</v>
      </c>
      <c r="AQ35" s="34">
        <f t="shared" si="2"/>
        <v>7.2707774798927609</v>
      </c>
      <c r="AR35" s="34">
        <f t="shared" si="3"/>
        <v>2.5714285714285712</v>
      </c>
      <c r="AS35" s="34">
        <f t="shared" si="4"/>
        <v>0</v>
      </c>
      <c r="AT35" s="34">
        <f t="shared" si="5"/>
        <v>2.2290310225967063</v>
      </c>
      <c r="AU35" s="34">
        <f t="shared" si="6"/>
        <v>5</v>
      </c>
      <c r="AV35" s="34">
        <f t="shared" si="7"/>
        <v>-0.11086474501108648</v>
      </c>
      <c r="AW35" s="92">
        <f t="shared" si="17"/>
        <v>185.9137948141439</v>
      </c>
      <c r="AX35" s="34"/>
      <c r="AY35" s="89">
        <v>3</v>
      </c>
      <c r="AZ35" s="86">
        <v>72.106502973049643</v>
      </c>
      <c r="BA35" s="36"/>
      <c r="BB35" s="36"/>
    </row>
    <row r="36" spans="1:54" s="28" customFormat="1">
      <c r="A36" s="51">
        <v>7</v>
      </c>
      <c r="B36" s="44" t="s">
        <v>63</v>
      </c>
      <c r="C36" s="39">
        <v>57</v>
      </c>
      <c r="D36" s="14">
        <v>20000</v>
      </c>
      <c r="E36" s="32">
        <f t="shared" si="24"/>
        <v>20000</v>
      </c>
      <c r="F36" s="28">
        <v>1</v>
      </c>
      <c r="G36" s="14">
        <v>1</v>
      </c>
      <c r="H36" s="14">
        <v>0</v>
      </c>
      <c r="I36" s="14">
        <v>0</v>
      </c>
      <c r="J36" s="14">
        <v>0</v>
      </c>
      <c r="K36" s="14">
        <v>1</v>
      </c>
      <c r="L36" s="28">
        <v>27</v>
      </c>
      <c r="M36" s="28">
        <v>10</v>
      </c>
      <c r="N36" s="28">
        <v>4</v>
      </c>
      <c r="O36" s="28">
        <v>2</v>
      </c>
      <c r="P36" s="28">
        <v>5</v>
      </c>
      <c r="Q36" s="28">
        <v>11</v>
      </c>
      <c r="R36" s="28">
        <v>2</v>
      </c>
      <c r="S36" s="28">
        <v>2</v>
      </c>
      <c r="T36" s="28">
        <v>1</v>
      </c>
      <c r="U36" s="28">
        <v>1</v>
      </c>
      <c r="V36" s="28">
        <v>5</v>
      </c>
      <c r="W36" s="28">
        <v>0</v>
      </c>
      <c r="X36" s="28">
        <v>1</v>
      </c>
      <c r="Y36" s="28">
        <v>0</v>
      </c>
      <c r="Z36" s="28">
        <v>2</v>
      </c>
      <c r="AA36" s="26">
        <v>1479</v>
      </c>
      <c r="AB36" s="26">
        <v>129</v>
      </c>
      <c r="AC36" s="26">
        <v>137</v>
      </c>
      <c r="AD36" s="26">
        <v>126</v>
      </c>
      <c r="AE36" s="26">
        <v>163</v>
      </c>
      <c r="AF36" s="33">
        <f t="shared" si="9"/>
        <v>1</v>
      </c>
      <c r="AG36" s="33">
        <f t="shared" si="10"/>
        <v>2.2592592592592591</v>
      </c>
      <c r="AH36" s="33">
        <f t="shared" si="11"/>
        <v>1.5454545454545454</v>
      </c>
      <c r="AI36" s="33">
        <f t="shared" si="12"/>
        <v>1</v>
      </c>
      <c r="AJ36" s="33">
        <f t="shared" si="13"/>
        <v>0.90736984448951985</v>
      </c>
      <c r="AK36" s="33">
        <f t="shared" si="25"/>
        <v>1.1509414633146884</v>
      </c>
      <c r="AL36" s="40">
        <f t="shared" si="26"/>
        <v>0.15625</v>
      </c>
      <c r="AM36" s="40">
        <f t="shared" si="27"/>
        <v>-1.1086474501108648E-2</v>
      </c>
      <c r="AN36" s="35"/>
      <c r="AO36" s="34">
        <f t="shared" si="16"/>
        <v>45</v>
      </c>
      <c r="AP36" s="34">
        <f t="shared" si="1"/>
        <v>79.074074074074062</v>
      </c>
      <c r="AQ36" s="34">
        <f t="shared" si="2"/>
        <v>12.363636363636363</v>
      </c>
      <c r="AR36" s="34">
        <f t="shared" si="3"/>
        <v>6</v>
      </c>
      <c r="AS36" s="34">
        <f t="shared" si="4"/>
        <v>1.8147396889790397</v>
      </c>
      <c r="AT36" s="34">
        <f t="shared" si="5"/>
        <v>5.7547073165734419</v>
      </c>
      <c r="AU36" s="34">
        <f t="shared" si="6"/>
        <v>0.78125</v>
      </c>
      <c r="AV36" s="34">
        <f t="shared" si="7"/>
        <v>-0.11086474501108648</v>
      </c>
      <c r="AW36" s="92">
        <f t="shared" si="17"/>
        <v>130.49916664563639</v>
      </c>
      <c r="AX36" s="34"/>
      <c r="AY36" s="89">
        <v>1</v>
      </c>
      <c r="AZ36" s="86">
        <v>42.116042368005132</v>
      </c>
      <c r="BA36" s="36"/>
      <c r="BB36" s="36"/>
    </row>
    <row r="37" spans="1:54" s="28" customFormat="1">
      <c r="A37" s="50">
        <v>8</v>
      </c>
      <c r="B37" s="55" t="s">
        <v>64</v>
      </c>
      <c r="C37" s="39">
        <v>55</v>
      </c>
      <c r="D37" s="14">
        <v>0</v>
      </c>
      <c r="E37" s="32">
        <f t="shared" si="24"/>
        <v>0</v>
      </c>
      <c r="F37" s="28">
        <v>1</v>
      </c>
      <c r="G37" s="14">
        <v>1</v>
      </c>
      <c r="H37" s="14">
        <v>0</v>
      </c>
      <c r="I37" s="14">
        <v>0</v>
      </c>
      <c r="J37" s="14">
        <v>0</v>
      </c>
      <c r="K37" s="14">
        <v>0</v>
      </c>
      <c r="L37" s="28">
        <v>171</v>
      </c>
      <c r="M37" s="28">
        <v>9</v>
      </c>
      <c r="N37" s="28">
        <v>15</v>
      </c>
      <c r="O37" s="28">
        <v>19</v>
      </c>
      <c r="P37" s="28">
        <v>19</v>
      </c>
      <c r="Q37" s="28">
        <v>1416</v>
      </c>
      <c r="R37" s="28">
        <v>118</v>
      </c>
      <c r="S37" s="28">
        <v>125</v>
      </c>
      <c r="T37" s="28">
        <v>132</v>
      </c>
      <c r="U37" s="28">
        <v>114</v>
      </c>
      <c r="V37" s="28">
        <v>1</v>
      </c>
      <c r="W37" s="28">
        <v>0</v>
      </c>
      <c r="X37" s="28">
        <v>0</v>
      </c>
      <c r="Y37" s="28">
        <v>0</v>
      </c>
      <c r="Z37" s="28">
        <v>0</v>
      </c>
      <c r="AA37" s="26">
        <v>11</v>
      </c>
      <c r="AB37" s="26">
        <v>1</v>
      </c>
      <c r="AC37" s="26">
        <v>0</v>
      </c>
      <c r="AD37" s="26">
        <v>0</v>
      </c>
      <c r="AE37" s="26">
        <v>0</v>
      </c>
      <c r="AF37" s="33">
        <f t="shared" si="9"/>
        <v>0</v>
      </c>
      <c r="AG37" s="33">
        <f t="shared" si="10"/>
        <v>0.80701754385964919</v>
      </c>
      <c r="AH37" s="33">
        <f t="shared" si="11"/>
        <v>0.86511299435028244</v>
      </c>
      <c r="AI37" s="33">
        <f t="shared" si="12"/>
        <v>0</v>
      </c>
      <c r="AJ37" s="33">
        <f t="shared" si="13"/>
        <v>0.36363636363636365</v>
      </c>
      <c r="AK37" s="33">
        <f t="shared" si="25"/>
        <v>0.40958311932888208</v>
      </c>
      <c r="AL37" s="40">
        <f t="shared" si="26"/>
        <v>0</v>
      </c>
      <c r="AM37" s="40">
        <f t="shared" si="27"/>
        <v>2.4390243902439025E-2</v>
      </c>
      <c r="AN37" s="35"/>
      <c r="AO37" s="34">
        <f t="shared" si="16"/>
        <v>0</v>
      </c>
      <c r="AP37" s="34">
        <f t="shared" si="1"/>
        <v>28.245614035087723</v>
      </c>
      <c r="AQ37" s="34">
        <f t="shared" si="2"/>
        <v>6.9209039548022595</v>
      </c>
      <c r="AR37" s="34">
        <f t="shared" si="3"/>
        <v>0</v>
      </c>
      <c r="AS37" s="34">
        <f t="shared" si="4"/>
        <v>0.72727272727272729</v>
      </c>
      <c r="AT37" s="34">
        <f t="shared" si="5"/>
        <v>2.0479155966444105</v>
      </c>
      <c r="AU37" s="34">
        <f t="shared" si="6"/>
        <v>0</v>
      </c>
      <c r="AV37" s="34">
        <f t="shared" si="7"/>
        <v>0.24390243902439024</v>
      </c>
      <c r="AW37" s="92">
        <f t="shared" si="17"/>
        <v>30.537432070756523</v>
      </c>
      <c r="AX37" s="34"/>
      <c r="AY37" s="89">
        <v>8</v>
      </c>
      <c r="AZ37" s="86">
        <v>30.537432070756523</v>
      </c>
      <c r="BA37" s="36"/>
      <c r="BB37" s="36"/>
    </row>
    <row r="38" spans="1:54" s="28" customFormat="1">
      <c r="A38" s="45"/>
      <c r="B38" s="46"/>
      <c r="C38" s="39"/>
      <c r="D38" s="14"/>
      <c r="E38" s="32"/>
      <c r="AF38" s="33" t="e">
        <f t="shared" si="9"/>
        <v>#DIV/0!</v>
      </c>
      <c r="AG38" s="33" t="e">
        <f t="shared" si="10"/>
        <v>#DIV/0!</v>
      </c>
      <c r="AH38" s="33" t="e">
        <f t="shared" si="11"/>
        <v>#DIV/0!</v>
      </c>
      <c r="AI38" s="33" t="e">
        <f t="shared" si="12"/>
        <v>#DIV/0!</v>
      </c>
      <c r="AJ38" s="33" t="e">
        <f t="shared" si="13"/>
        <v>#DIV/0!</v>
      </c>
      <c r="AK38" s="33"/>
      <c r="AL38" s="34"/>
      <c r="AM38" s="34"/>
      <c r="AN38" s="35"/>
      <c r="AO38" s="34" t="e">
        <f t="shared" si="16"/>
        <v>#DIV/0!</v>
      </c>
      <c r="AP38" s="34" t="e">
        <f t="shared" si="1"/>
        <v>#DIV/0!</v>
      </c>
      <c r="AQ38" s="34" t="e">
        <f t="shared" si="2"/>
        <v>#DIV/0!</v>
      </c>
      <c r="AR38" s="34" t="e">
        <f t="shared" si="3"/>
        <v>#DIV/0!</v>
      </c>
      <c r="AS38" s="34" t="e">
        <f t="shared" si="4"/>
        <v>#DIV/0!</v>
      </c>
      <c r="AT38" s="34">
        <f t="shared" si="5"/>
        <v>0</v>
      </c>
      <c r="AU38" s="34">
        <f t="shared" si="6"/>
        <v>0</v>
      </c>
      <c r="AV38" s="34">
        <f t="shared" si="7"/>
        <v>0</v>
      </c>
      <c r="AW38" s="92" t="e">
        <f t="shared" si="17"/>
        <v>#DIV/0!</v>
      </c>
      <c r="AX38" s="27"/>
      <c r="BA38" s="54"/>
      <c r="BB38" s="54"/>
    </row>
    <row r="39" spans="1:54" s="28" customFormat="1">
      <c r="A39" s="29"/>
      <c r="B39" s="30" t="s">
        <v>65</v>
      </c>
      <c r="C39" s="39">
        <v>4</v>
      </c>
      <c r="D39" s="14"/>
      <c r="E39" s="32"/>
      <c r="G39" s="14"/>
      <c r="H39" s="14"/>
      <c r="I39" s="14"/>
      <c r="J39" s="14"/>
      <c r="K39" s="14"/>
      <c r="AF39" s="33" t="e">
        <f t="shared" si="9"/>
        <v>#DIV/0!</v>
      </c>
      <c r="AG39" s="33" t="e">
        <f t="shared" si="10"/>
        <v>#DIV/0!</v>
      </c>
      <c r="AH39" s="33" t="e">
        <f t="shared" si="11"/>
        <v>#DIV/0!</v>
      </c>
      <c r="AI39" s="33" t="e">
        <f t="shared" si="12"/>
        <v>#DIV/0!</v>
      </c>
      <c r="AJ39" s="33" t="e">
        <f t="shared" si="13"/>
        <v>#DIV/0!</v>
      </c>
      <c r="AK39" s="33"/>
      <c r="AL39" s="34"/>
      <c r="AM39" s="34"/>
      <c r="AN39" s="35"/>
      <c r="AO39" s="34" t="e">
        <f t="shared" si="16"/>
        <v>#DIV/0!</v>
      </c>
      <c r="AP39" s="34" t="e">
        <f t="shared" si="1"/>
        <v>#DIV/0!</v>
      </c>
      <c r="AQ39" s="34" t="e">
        <f t="shared" si="2"/>
        <v>#DIV/0!</v>
      </c>
      <c r="AR39" s="34" t="e">
        <f t="shared" si="3"/>
        <v>#DIV/0!</v>
      </c>
      <c r="AS39" s="34" t="e">
        <f t="shared" si="4"/>
        <v>#DIV/0!</v>
      </c>
      <c r="AT39" s="34">
        <f t="shared" si="5"/>
        <v>0</v>
      </c>
      <c r="AU39" s="34">
        <f t="shared" si="6"/>
        <v>0</v>
      </c>
      <c r="AV39" s="34">
        <f t="shared" si="7"/>
        <v>0</v>
      </c>
      <c r="AW39" s="92" t="e">
        <f t="shared" si="17"/>
        <v>#DIV/0!</v>
      </c>
      <c r="AX39" s="27"/>
      <c r="BA39" s="54"/>
      <c r="BB39" s="54"/>
    </row>
    <row r="40" spans="1:54" s="28" customFormat="1">
      <c r="A40" s="49">
        <v>1</v>
      </c>
      <c r="B40" s="42" t="s">
        <v>66</v>
      </c>
      <c r="C40" s="39">
        <v>59</v>
      </c>
      <c r="D40" s="14">
        <v>317000</v>
      </c>
      <c r="E40" s="32">
        <f t="shared" ref="E40:E47" si="28">D40/F40</f>
        <v>31700</v>
      </c>
      <c r="F40" s="28">
        <v>10</v>
      </c>
      <c r="G40" s="14">
        <v>10</v>
      </c>
      <c r="H40" s="14">
        <v>1</v>
      </c>
      <c r="I40" s="14">
        <v>1</v>
      </c>
      <c r="J40" s="14">
        <v>1</v>
      </c>
      <c r="K40" s="14">
        <v>0</v>
      </c>
      <c r="L40" s="28">
        <v>141</v>
      </c>
      <c r="M40" s="28">
        <v>7</v>
      </c>
      <c r="N40" s="28">
        <v>11</v>
      </c>
      <c r="O40" s="28">
        <v>15</v>
      </c>
      <c r="P40" s="28">
        <v>9</v>
      </c>
      <c r="Q40" s="28">
        <v>704</v>
      </c>
      <c r="R40" s="28">
        <v>65</v>
      </c>
      <c r="S40" s="28">
        <v>57</v>
      </c>
      <c r="T40" s="28">
        <v>71</v>
      </c>
      <c r="U40" s="28">
        <v>72</v>
      </c>
      <c r="V40" s="28">
        <v>61</v>
      </c>
      <c r="W40" s="28">
        <v>6</v>
      </c>
      <c r="X40" s="28">
        <v>7</v>
      </c>
      <c r="Y40" s="28">
        <v>6</v>
      </c>
      <c r="Z40" s="28">
        <v>2</v>
      </c>
      <c r="AA40" s="26">
        <v>11</v>
      </c>
      <c r="AB40" s="26">
        <v>1</v>
      </c>
      <c r="AC40" s="26">
        <v>0</v>
      </c>
      <c r="AD40" s="26">
        <v>0</v>
      </c>
      <c r="AE40" s="26">
        <v>0</v>
      </c>
      <c r="AF40" s="33">
        <f t="shared" si="9"/>
        <v>0.90000000000000013</v>
      </c>
      <c r="AG40" s="33">
        <f t="shared" si="10"/>
        <v>0.70921985815602839</v>
      </c>
      <c r="AH40" s="33">
        <f t="shared" si="11"/>
        <v>0.91619318181818177</v>
      </c>
      <c r="AI40" s="33">
        <f t="shared" si="12"/>
        <v>0.96721311475409832</v>
      </c>
      <c r="AJ40" s="33">
        <f t="shared" si="13"/>
        <v>0.36363636363636365</v>
      </c>
      <c r="AK40" s="33">
        <f t="shared" ref="AK40:AK47" si="29">AVERAGE(AH40:AJ40)</f>
        <v>0.74901422006954788</v>
      </c>
      <c r="AL40" s="40">
        <f>E40/MAX($E$40:$E$47)</f>
        <v>0.487205102589718</v>
      </c>
      <c r="AM40" s="40">
        <f>(AVERAGE($C$40:$C$47)-C40)/AVERAGE($C$40:$C$47)</f>
        <v>-4.194260485651214E-2</v>
      </c>
      <c r="AN40" s="35"/>
      <c r="AO40" s="34">
        <f t="shared" si="16"/>
        <v>40.500000000000007</v>
      </c>
      <c r="AP40" s="34">
        <f t="shared" si="1"/>
        <v>24.822695035460995</v>
      </c>
      <c r="AQ40" s="34">
        <f t="shared" si="2"/>
        <v>7.3295454545454541</v>
      </c>
      <c r="AR40" s="34">
        <f t="shared" si="3"/>
        <v>5.8032786885245899</v>
      </c>
      <c r="AS40" s="34">
        <f t="shared" si="4"/>
        <v>0.72727272727272729</v>
      </c>
      <c r="AT40" s="34">
        <f t="shared" si="5"/>
        <v>3.7450711003477393</v>
      </c>
      <c r="AU40" s="34">
        <f t="shared" si="6"/>
        <v>2.4360255129485902</v>
      </c>
      <c r="AV40" s="34">
        <f t="shared" si="7"/>
        <v>-0.41942604856512139</v>
      </c>
      <c r="AW40" s="92">
        <f t="shared" si="17"/>
        <v>71.084365600192214</v>
      </c>
      <c r="AX40" s="27"/>
      <c r="AY40" s="89">
        <v>3</v>
      </c>
      <c r="AZ40" s="86">
        <v>141.669551595923</v>
      </c>
      <c r="BA40" s="36"/>
      <c r="BB40" s="36"/>
    </row>
    <row r="41" spans="1:54" s="28" customFormat="1">
      <c r="A41" s="50">
        <v>2</v>
      </c>
      <c r="B41" s="38" t="s">
        <v>67</v>
      </c>
      <c r="C41" s="39">
        <v>60.5</v>
      </c>
      <c r="D41" s="14">
        <v>469000</v>
      </c>
      <c r="E41" s="32">
        <f t="shared" si="28"/>
        <v>46900</v>
      </c>
      <c r="F41" s="28">
        <v>10</v>
      </c>
      <c r="G41" s="14">
        <v>10</v>
      </c>
      <c r="H41" s="14">
        <v>2</v>
      </c>
      <c r="I41" s="14">
        <v>1</v>
      </c>
      <c r="J41" s="14">
        <v>2</v>
      </c>
      <c r="K41" s="14">
        <v>2</v>
      </c>
      <c r="L41" s="28">
        <v>233</v>
      </c>
      <c r="M41" s="28">
        <v>19</v>
      </c>
      <c r="N41" s="28">
        <v>27</v>
      </c>
      <c r="O41" s="28">
        <v>19</v>
      </c>
      <c r="P41" s="28">
        <v>21</v>
      </c>
      <c r="Q41" s="28">
        <v>1637</v>
      </c>
      <c r="R41" s="28">
        <v>171</v>
      </c>
      <c r="S41" s="28">
        <v>166</v>
      </c>
      <c r="T41" s="28">
        <v>175</v>
      </c>
      <c r="U41" s="28">
        <v>184</v>
      </c>
      <c r="V41" s="28">
        <v>144</v>
      </c>
      <c r="W41" s="28">
        <v>18</v>
      </c>
      <c r="X41" s="28">
        <v>29</v>
      </c>
      <c r="Y41" s="28">
        <v>24</v>
      </c>
      <c r="Z41" s="28">
        <v>19</v>
      </c>
      <c r="AA41" s="26">
        <v>1075</v>
      </c>
      <c r="AB41" s="26">
        <v>106</v>
      </c>
      <c r="AC41" s="26">
        <v>121</v>
      </c>
      <c r="AD41" s="26">
        <v>106</v>
      </c>
      <c r="AE41" s="26">
        <v>110</v>
      </c>
      <c r="AF41" s="33">
        <f t="shared" si="9"/>
        <v>1.7</v>
      </c>
      <c r="AG41" s="33">
        <f t="shared" si="10"/>
        <v>0.92703862660944203</v>
      </c>
      <c r="AH41" s="33">
        <f t="shared" si="11"/>
        <v>1.0482590103848504</v>
      </c>
      <c r="AI41" s="33">
        <f t="shared" si="12"/>
        <v>1.5694444444444444</v>
      </c>
      <c r="AJ41" s="33">
        <f t="shared" si="13"/>
        <v>1.0316279069767442</v>
      </c>
      <c r="AK41" s="33">
        <f t="shared" si="29"/>
        <v>1.2164437872686797</v>
      </c>
      <c r="AL41" s="40">
        <f t="shared" ref="AL41:AL46" si="30">E41/MAX($E$40:$E$47)</f>
        <v>0.72081764389456693</v>
      </c>
      <c r="AM41" s="40">
        <f t="shared" ref="AM41:AM47" si="31">(AVERAGE($C$40:$C$47)-C41)/AVERAGE($C$40:$C$47)</f>
        <v>-6.8432671081677707E-2</v>
      </c>
      <c r="AN41" s="35"/>
      <c r="AO41" s="34">
        <f t="shared" si="16"/>
        <v>76.5</v>
      </c>
      <c r="AP41" s="34">
        <f t="shared" si="1"/>
        <v>32.446351931330469</v>
      </c>
      <c r="AQ41" s="34">
        <f t="shared" si="2"/>
        <v>8.3860720830788029</v>
      </c>
      <c r="AR41" s="34">
        <f t="shared" si="3"/>
        <v>9.4166666666666661</v>
      </c>
      <c r="AS41" s="34">
        <f t="shared" si="4"/>
        <v>2.0632558139534884</v>
      </c>
      <c r="AT41" s="34">
        <f t="shared" si="5"/>
        <v>6.0822189363433985</v>
      </c>
      <c r="AU41" s="34">
        <f t="shared" si="6"/>
        <v>3.6040882194728345</v>
      </c>
      <c r="AV41" s="34">
        <f t="shared" si="7"/>
        <v>-0.6843267108167771</v>
      </c>
      <c r="AW41" s="92">
        <f t="shared" si="17"/>
        <v>117.94833237632992</v>
      </c>
      <c r="AX41" s="27"/>
      <c r="AY41" s="89">
        <v>4</v>
      </c>
      <c r="AZ41" s="86">
        <v>129.82862300220481</v>
      </c>
      <c r="BA41" s="36"/>
      <c r="BB41" s="36"/>
    </row>
    <row r="42" spans="1:54" s="28" customFormat="1">
      <c r="A42" s="51">
        <v>3</v>
      </c>
      <c r="B42" s="44" t="s">
        <v>68</v>
      </c>
      <c r="C42" s="39">
        <v>57</v>
      </c>
      <c r="D42" s="14">
        <v>553900</v>
      </c>
      <c r="E42" s="32">
        <f t="shared" si="28"/>
        <v>55390</v>
      </c>
      <c r="F42" s="28">
        <v>10</v>
      </c>
      <c r="G42" s="14">
        <v>10</v>
      </c>
      <c r="H42" s="14">
        <v>2</v>
      </c>
      <c r="I42" s="14">
        <v>0</v>
      </c>
      <c r="J42" s="14">
        <v>2</v>
      </c>
      <c r="K42" s="14">
        <v>2</v>
      </c>
      <c r="L42" s="28">
        <v>349</v>
      </c>
      <c r="M42" s="28">
        <v>90</v>
      </c>
      <c r="N42" s="28">
        <v>62</v>
      </c>
      <c r="O42" s="28">
        <v>53</v>
      </c>
      <c r="P42" s="28">
        <v>45</v>
      </c>
      <c r="Q42" s="28">
        <v>948</v>
      </c>
      <c r="R42" s="28">
        <v>65</v>
      </c>
      <c r="S42" s="28">
        <v>84</v>
      </c>
      <c r="T42" s="28">
        <v>70</v>
      </c>
      <c r="U42" s="28">
        <v>97</v>
      </c>
      <c r="V42" s="28">
        <v>132</v>
      </c>
      <c r="W42" s="28">
        <v>10</v>
      </c>
      <c r="X42" s="28">
        <v>19</v>
      </c>
      <c r="Y42" s="28">
        <v>14</v>
      </c>
      <c r="Z42" s="28">
        <v>15</v>
      </c>
      <c r="AA42" s="26">
        <v>777</v>
      </c>
      <c r="AB42" s="26">
        <v>70</v>
      </c>
      <c r="AC42" s="26">
        <v>67</v>
      </c>
      <c r="AD42" s="26">
        <v>67</v>
      </c>
      <c r="AE42" s="26">
        <v>82</v>
      </c>
      <c r="AF42" s="33">
        <f t="shared" si="9"/>
        <v>1.4000000000000001</v>
      </c>
      <c r="AG42" s="33">
        <f t="shared" si="10"/>
        <v>1.997134670487106</v>
      </c>
      <c r="AH42" s="33">
        <f t="shared" si="11"/>
        <v>0.79008438818565396</v>
      </c>
      <c r="AI42" s="33">
        <f t="shared" si="12"/>
        <v>1.0606060606060606</v>
      </c>
      <c r="AJ42" s="33">
        <f t="shared" si="13"/>
        <v>0.89703989703989706</v>
      </c>
      <c r="AK42" s="33">
        <f t="shared" si="29"/>
        <v>0.9159101152772039</v>
      </c>
      <c r="AL42" s="40">
        <f t="shared" si="30"/>
        <v>0.85130254361023594</v>
      </c>
      <c r="AM42" s="40">
        <f t="shared" si="31"/>
        <v>-6.6225165562913907E-3</v>
      </c>
      <c r="AN42" s="35"/>
      <c r="AO42" s="34">
        <f t="shared" si="16"/>
        <v>63.000000000000007</v>
      </c>
      <c r="AP42" s="34">
        <f t="shared" si="1"/>
        <v>69.899713467048713</v>
      </c>
      <c r="AQ42" s="34">
        <f t="shared" si="2"/>
        <v>6.3206751054852317</v>
      </c>
      <c r="AR42" s="34">
        <f t="shared" si="3"/>
        <v>6.3636363636363633</v>
      </c>
      <c r="AS42" s="34">
        <f t="shared" si="4"/>
        <v>1.7940797940797941</v>
      </c>
      <c r="AT42" s="34">
        <f t="shared" si="5"/>
        <v>4.5795505763860191</v>
      </c>
      <c r="AU42" s="34">
        <f t="shared" si="6"/>
        <v>4.2565127180511801</v>
      </c>
      <c r="AV42" s="34">
        <f t="shared" si="7"/>
        <v>-6.6225165562913912E-2</v>
      </c>
      <c r="AW42" s="92">
        <f t="shared" si="17"/>
        <v>141.669551595923</v>
      </c>
      <c r="AX42" s="27"/>
      <c r="AY42" s="89">
        <v>6</v>
      </c>
      <c r="AZ42" s="86">
        <v>124.07546355847484</v>
      </c>
      <c r="BA42" s="36"/>
      <c r="BB42" s="36"/>
    </row>
    <row r="43" spans="1:54" s="28" customFormat="1">
      <c r="A43" s="50">
        <v>4</v>
      </c>
      <c r="B43" s="38" t="s">
        <v>69</v>
      </c>
      <c r="C43" s="39">
        <v>57</v>
      </c>
      <c r="D43" s="14">
        <v>493175</v>
      </c>
      <c r="E43" s="32">
        <f t="shared" si="28"/>
        <v>49317.5</v>
      </c>
      <c r="F43" s="28">
        <v>10</v>
      </c>
      <c r="G43" s="14">
        <v>10</v>
      </c>
      <c r="H43" s="14">
        <v>1</v>
      </c>
      <c r="I43" s="14">
        <v>1</v>
      </c>
      <c r="J43" s="14">
        <v>4</v>
      </c>
      <c r="K43" s="14">
        <v>0</v>
      </c>
      <c r="L43" s="28">
        <v>338</v>
      </c>
      <c r="M43" s="28">
        <v>48</v>
      </c>
      <c r="N43" s="28">
        <v>61</v>
      </c>
      <c r="O43" s="28">
        <v>47</v>
      </c>
      <c r="P43" s="28">
        <v>55</v>
      </c>
      <c r="Q43" s="28">
        <v>92</v>
      </c>
      <c r="R43" s="28">
        <v>14</v>
      </c>
      <c r="S43" s="28">
        <v>13</v>
      </c>
      <c r="T43" s="28">
        <v>16</v>
      </c>
      <c r="U43" s="28">
        <v>10</v>
      </c>
      <c r="V43" s="28">
        <v>17</v>
      </c>
      <c r="W43" s="28">
        <v>1</v>
      </c>
      <c r="X43" s="28">
        <v>1</v>
      </c>
      <c r="Y43" s="28">
        <v>6</v>
      </c>
      <c r="Z43" s="28">
        <v>0</v>
      </c>
      <c r="AA43" s="26">
        <v>1</v>
      </c>
      <c r="AB43" s="26">
        <v>0</v>
      </c>
      <c r="AC43" s="26">
        <v>0</v>
      </c>
      <c r="AD43" s="26">
        <v>0</v>
      </c>
      <c r="AE43" s="26">
        <v>0</v>
      </c>
      <c r="AF43" s="33">
        <f t="shared" si="9"/>
        <v>1.5</v>
      </c>
      <c r="AG43" s="33">
        <f t="shared" si="10"/>
        <v>1.5502958579881658</v>
      </c>
      <c r="AH43" s="33">
        <f t="shared" si="11"/>
        <v>1.4891304347826086</v>
      </c>
      <c r="AI43" s="33">
        <f t="shared" si="12"/>
        <v>1.1176470588235294</v>
      </c>
      <c r="AJ43" s="33">
        <f t="shared" si="13"/>
        <v>0</v>
      </c>
      <c r="AK43" s="33">
        <f t="shared" si="29"/>
        <v>0.86892583120204614</v>
      </c>
      <c r="AL43" s="40">
        <f t="shared" si="30"/>
        <v>0.75797279643433491</v>
      </c>
      <c r="AM43" s="40">
        <f t="shared" si="31"/>
        <v>-6.6225165562913907E-3</v>
      </c>
      <c r="AN43" s="35"/>
      <c r="AO43" s="34">
        <f t="shared" si="16"/>
        <v>67.5</v>
      </c>
      <c r="AP43" s="34">
        <f t="shared" si="1"/>
        <v>54.260355029585803</v>
      </c>
      <c r="AQ43" s="34">
        <f t="shared" si="2"/>
        <v>11.913043478260869</v>
      </c>
      <c r="AR43" s="34">
        <f t="shared" si="3"/>
        <v>6.7058823529411766</v>
      </c>
      <c r="AS43" s="34">
        <f t="shared" si="4"/>
        <v>0</v>
      </c>
      <c r="AT43" s="34">
        <f t="shared" si="5"/>
        <v>4.3446291560102308</v>
      </c>
      <c r="AU43" s="34">
        <f t="shared" si="6"/>
        <v>3.7898639821716746</v>
      </c>
      <c r="AV43" s="34">
        <f t="shared" si="7"/>
        <v>-6.6225165562913912E-2</v>
      </c>
      <c r="AW43" s="92">
        <f t="shared" si="17"/>
        <v>129.82862300220481</v>
      </c>
      <c r="AX43" s="27"/>
      <c r="AY43" s="89">
        <v>2</v>
      </c>
      <c r="AZ43" s="86">
        <v>117.94833237632992</v>
      </c>
      <c r="BA43" s="36"/>
      <c r="BB43" s="36"/>
    </row>
    <row r="44" spans="1:54" s="28" customFormat="1">
      <c r="A44" s="49">
        <v>5</v>
      </c>
      <c r="B44" s="42" t="s">
        <v>70</v>
      </c>
      <c r="C44" s="39">
        <v>56.5</v>
      </c>
      <c r="D44" s="14">
        <v>264300</v>
      </c>
      <c r="E44" s="32">
        <f t="shared" si="28"/>
        <v>52860</v>
      </c>
      <c r="F44" s="28">
        <v>5</v>
      </c>
      <c r="G44" s="14">
        <v>5</v>
      </c>
      <c r="H44" s="14">
        <v>1</v>
      </c>
      <c r="I44" s="14">
        <v>0</v>
      </c>
      <c r="J44" s="14">
        <v>1</v>
      </c>
      <c r="K44" s="14">
        <v>0</v>
      </c>
      <c r="L44" s="28">
        <v>84</v>
      </c>
      <c r="M44" s="28">
        <v>9</v>
      </c>
      <c r="N44" s="28">
        <v>5</v>
      </c>
      <c r="O44" s="28">
        <v>8</v>
      </c>
      <c r="P44" s="28">
        <v>13</v>
      </c>
      <c r="Q44" s="28">
        <v>485</v>
      </c>
      <c r="R44" s="28">
        <v>56</v>
      </c>
      <c r="S44" s="28">
        <v>47</v>
      </c>
      <c r="T44" s="28">
        <v>56</v>
      </c>
      <c r="U44" s="28">
        <v>36</v>
      </c>
      <c r="V44" s="28">
        <v>12</v>
      </c>
      <c r="W44" s="28">
        <v>1</v>
      </c>
      <c r="X44" s="28">
        <v>0</v>
      </c>
      <c r="Y44" s="28">
        <v>1</v>
      </c>
      <c r="Z44" s="28">
        <v>0</v>
      </c>
      <c r="AA44" s="26">
        <v>1344</v>
      </c>
      <c r="AB44" s="26">
        <v>208</v>
      </c>
      <c r="AC44" s="26">
        <v>166</v>
      </c>
      <c r="AD44" s="26">
        <v>154</v>
      </c>
      <c r="AE44" s="26">
        <v>138</v>
      </c>
      <c r="AF44" s="33">
        <f t="shared" si="9"/>
        <v>1.2000000000000002</v>
      </c>
      <c r="AG44" s="33">
        <f t="shared" si="10"/>
        <v>0.95238095238095233</v>
      </c>
      <c r="AH44" s="33">
        <f t="shared" si="11"/>
        <v>1.0577319587628866</v>
      </c>
      <c r="AI44" s="33">
        <f t="shared" si="12"/>
        <v>0.5</v>
      </c>
      <c r="AJ44" s="33">
        <f t="shared" si="13"/>
        <v>1.3214285714285714</v>
      </c>
      <c r="AK44" s="33">
        <f t="shared" si="29"/>
        <v>0.95972017673048604</v>
      </c>
      <c r="AL44" s="40">
        <f t="shared" si="30"/>
        <v>0.81241835087988934</v>
      </c>
      <c r="AM44" s="40">
        <f t="shared" si="31"/>
        <v>2.2075055187637969E-3</v>
      </c>
      <c r="AN44" s="35"/>
      <c r="AO44" s="34">
        <f t="shared" si="16"/>
        <v>54.000000000000007</v>
      </c>
      <c r="AP44" s="34">
        <f t="shared" si="1"/>
        <v>33.333333333333329</v>
      </c>
      <c r="AQ44" s="34">
        <f t="shared" si="2"/>
        <v>8.4618556701030929</v>
      </c>
      <c r="AR44" s="34">
        <f t="shared" si="3"/>
        <v>3</v>
      </c>
      <c r="AS44" s="34">
        <f t="shared" si="4"/>
        <v>2.6428571428571428</v>
      </c>
      <c r="AT44" s="34">
        <f t="shared" si="5"/>
        <v>4.7986008836524299</v>
      </c>
      <c r="AU44" s="34">
        <f t="shared" si="6"/>
        <v>4.0620917543994466</v>
      </c>
      <c r="AV44" s="34">
        <f t="shared" si="7"/>
        <v>2.2075055187637971E-2</v>
      </c>
      <c r="AW44" s="92">
        <f t="shared" si="17"/>
        <v>96.216101026572858</v>
      </c>
      <c r="AX44" s="27"/>
      <c r="AY44" s="89">
        <v>7</v>
      </c>
      <c r="AZ44" s="86">
        <v>117.32094293511453</v>
      </c>
      <c r="BA44" s="36"/>
      <c r="BB44" s="36"/>
    </row>
    <row r="45" spans="1:54" s="28" customFormat="1">
      <c r="A45" s="50">
        <v>6</v>
      </c>
      <c r="B45" s="38" t="s">
        <v>71</v>
      </c>
      <c r="C45" s="39">
        <v>53</v>
      </c>
      <c r="D45" s="14">
        <v>650650</v>
      </c>
      <c r="E45" s="32">
        <f t="shared" si="28"/>
        <v>65065</v>
      </c>
      <c r="F45" s="28">
        <v>10</v>
      </c>
      <c r="G45" s="14">
        <v>10</v>
      </c>
      <c r="H45" s="14">
        <v>1</v>
      </c>
      <c r="I45" s="14">
        <v>4</v>
      </c>
      <c r="J45" s="14">
        <v>1</v>
      </c>
      <c r="K45" s="14">
        <v>0</v>
      </c>
      <c r="L45" s="28">
        <v>113</v>
      </c>
      <c r="M45" s="28">
        <v>9</v>
      </c>
      <c r="N45" s="28">
        <v>11</v>
      </c>
      <c r="O45" s="28">
        <v>12</v>
      </c>
      <c r="P45" s="28">
        <v>10</v>
      </c>
      <c r="Q45" s="28">
        <v>144</v>
      </c>
      <c r="R45" s="28">
        <v>9</v>
      </c>
      <c r="S45" s="28">
        <v>15</v>
      </c>
      <c r="T45" s="28">
        <v>6</v>
      </c>
      <c r="U45" s="28">
        <v>16</v>
      </c>
      <c r="V45" s="28">
        <v>41</v>
      </c>
      <c r="W45" s="28">
        <v>7</v>
      </c>
      <c r="X45" s="28">
        <v>7</v>
      </c>
      <c r="Y45" s="28">
        <v>5</v>
      </c>
      <c r="Z45" s="28">
        <v>2</v>
      </c>
      <c r="AA45" s="26">
        <v>294</v>
      </c>
      <c r="AB45" s="26">
        <v>42</v>
      </c>
      <c r="AC45" s="26">
        <v>21</v>
      </c>
      <c r="AD45" s="26">
        <v>27</v>
      </c>
      <c r="AE45" s="26">
        <v>31</v>
      </c>
      <c r="AF45" s="33">
        <f t="shared" si="9"/>
        <v>1.8</v>
      </c>
      <c r="AG45" s="33">
        <f t="shared" si="10"/>
        <v>0.91150442477876115</v>
      </c>
      <c r="AH45" s="33">
        <f t="shared" si="11"/>
        <v>0.75694444444444442</v>
      </c>
      <c r="AI45" s="33">
        <f t="shared" si="12"/>
        <v>1.4878048780487807</v>
      </c>
      <c r="AJ45" s="33">
        <f t="shared" si="13"/>
        <v>1.074829931972789</v>
      </c>
      <c r="AK45" s="33">
        <f t="shared" si="29"/>
        <v>1.106526418155338</v>
      </c>
      <c r="AL45" s="40">
        <f t="shared" si="30"/>
        <v>1</v>
      </c>
      <c r="AM45" s="40">
        <f t="shared" si="31"/>
        <v>6.4017660044150104E-2</v>
      </c>
      <c r="AN45" s="35"/>
      <c r="AO45" s="34">
        <f t="shared" si="16"/>
        <v>81</v>
      </c>
      <c r="AP45" s="34">
        <f t="shared" si="1"/>
        <v>31.90265486725664</v>
      </c>
      <c r="AQ45" s="34">
        <f t="shared" si="2"/>
        <v>6.0555555555555554</v>
      </c>
      <c r="AR45" s="34">
        <f t="shared" si="3"/>
        <v>8.9268292682926838</v>
      </c>
      <c r="AS45" s="34">
        <f t="shared" si="4"/>
        <v>2.149659863945578</v>
      </c>
      <c r="AT45" s="34">
        <f t="shared" si="5"/>
        <v>5.5326320907766906</v>
      </c>
      <c r="AU45" s="34">
        <f t="shared" si="6"/>
        <v>5</v>
      </c>
      <c r="AV45" s="34">
        <f t="shared" si="7"/>
        <v>0.64017660044150104</v>
      </c>
      <c r="AW45" s="92">
        <f t="shared" si="17"/>
        <v>124.07546355847484</v>
      </c>
      <c r="AX45" s="27"/>
      <c r="AY45" s="89">
        <v>5</v>
      </c>
      <c r="AZ45" s="86">
        <v>96.216101026572858</v>
      </c>
      <c r="BA45" s="36"/>
      <c r="BB45" s="36"/>
    </row>
    <row r="46" spans="1:54" s="28" customFormat="1">
      <c r="A46" s="49">
        <v>7</v>
      </c>
      <c r="B46" s="42" t="s">
        <v>72</v>
      </c>
      <c r="C46" s="39">
        <v>56</v>
      </c>
      <c r="D46" s="14">
        <v>282100</v>
      </c>
      <c r="E46" s="32">
        <f t="shared" si="28"/>
        <v>56420</v>
      </c>
      <c r="F46" s="28">
        <v>5</v>
      </c>
      <c r="G46" s="14">
        <v>5</v>
      </c>
      <c r="H46" s="14">
        <v>1</v>
      </c>
      <c r="I46" s="14">
        <v>0</v>
      </c>
      <c r="J46" s="14">
        <v>1</v>
      </c>
      <c r="K46" s="14">
        <v>1</v>
      </c>
      <c r="L46" s="28">
        <v>439</v>
      </c>
      <c r="M46" s="28">
        <v>67</v>
      </c>
      <c r="N46" s="28">
        <v>50</v>
      </c>
      <c r="O46" s="28">
        <v>50</v>
      </c>
      <c r="P46" s="28">
        <v>57</v>
      </c>
      <c r="Q46" s="28">
        <v>349</v>
      </c>
      <c r="R46" s="28">
        <v>19</v>
      </c>
      <c r="S46" s="28">
        <v>16</v>
      </c>
      <c r="T46" s="28">
        <v>22</v>
      </c>
      <c r="U46" s="28">
        <v>36</v>
      </c>
      <c r="V46" s="28">
        <v>165</v>
      </c>
      <c r="W46" s="28">
        <v>15</v>
      </c>
      <c r="X46" s="28">
        <v>11</v>
      </c>
      <c r="Y46" s="28">
        <v>14</v>
      </c>
      <c r="Z46" s="28">
        <v>17</v>
      </c>
      <c r="AA46" s="26">
        <v>10343</v>
      </c>
      <c r="AB46" s="26">
        <v>1077</v>
      </c>
      <c r="AC46" s="26">
        <v>1012</v>
      </c>
      <c r="AD46" s="26">
        <v>967</v>
      </c>
      <c r="AE46" s="26">
        <v>1048</v>
      </c>
      <c r="AF46" s="33">
        <f t="shared" si="9"/>
        <v>1.4000000000000001</v>
      </c>
      <c r="AG46" s="33">
        <f t="shared" si="10"/>
        <v>1.3097949886104783</v>
      </c>
      <c r="AH46" s="33">
        <f t="shared" si="11"/>
        <v>0.58452722063037255</v>
      </c>
      <c r="AI46" s="33">
        <f t="shared" si="12"/>
        <v>0.83636363636363642</v>
      </c>
      <c r="AJ46" s="33">
        <f t="shared" si="13"/>
        <v>0.99835637629314511</v>
      </c>
      <c r="AK46" s="33">
        <f t="shared" si="29"/>
        <v>0.80641574442905151</v>
      </c>
      <c r="AL46" s="40">
        <f t="shared" si="30"/>
        <v>0.86713286713286708</v>
      </c>
      <c r="AM46" s="40">
        <f t="shared" si="31"/>
        <v>1.1037527593818985E-2</v>
      </c>
      <c r="AN46" s="35"/>
      <c r="AO46" s="34">
        <f t="shared" si="16"/>
        <v>63.000000000000007</v>
      </c>
      <c r="AP46" s="34">
        <f t="shared" si="1"/>
        <v>45.842824601366736</v>
      </c>
      <c r="AQ46" s="34">
        <f t="shared" si="2"/>
        <v>4.6762177650429804</v>
      </c>
      <c r="AR46" s="34">
        <f t="shared" si="3"/>
        <v>5.0181818181818185</v>
      </c>
      <c r="AS46" s="34">
        <f t="shared" si="4"/>
        <v>1.9967127525862902</v>
      </c>
      <c r="AT46" s="34">
        <f t="shared" si="5"/>
        <v>4.0320787221452576</v>
      </c>
      <c r="AU46" s="34">
        <f t="shared" si="6"/>
        <v>4.335664335664335</v>
      </c>
      <c r="AV46" s="34">
        <f t="shared" si="7"/>
        <v>0.11037527593818985</v>
      </c>
      <c r="AW46" s="92">
        <f t="shared" si="17"/>
        <v>117.32094293511453</v>
      </c>
      <c r="AX46" s="27"/>
      <c r="AY46" s="89">
        <v>8</v>
      </c>
      <c r="AZ46" s="86">
        <v>78.521065196923757</v>
      </c>
      <c r="BA46" s="36"/>
      <c r="BB46" s="36"/>
    </row>
    <row r="47" spans="1:54" s="28" customFormat="1">
      <c r="A47" s="50">
        <v>8</v>
      </c>
      <c r="B47" s="38" t="s">
        <v>73</v>
      </c>
      <c r="C47" s="39">
        <v>54</v>
      </c>
      <c r="D47" s="14">
        <v>347850</v>
      </c>
      <c r="E47" s="32">
        <f t="shared" si="28"/>
        <v>34785</v>
      </c>
      <c r="F47" s="28">
        <v>10</v>
      </c>
      <c r="G47" s="14">
        <v>10</v>
      </c>
      <c r="H47" s="14">
        <v>2</v>
      </c>
      <c r="I47" s="14">
        <v>0</v>
      </c>
      <c r="J47" s="14">
        <v>0</v>
      </c>
      <c r="K47" s="14">
        <v>0</v>
      </c>
      <c r="L47" s="28">
        <v>383</v>
      </c>
      <c r="M47" s="28">
        <v>39</v>
      </c>
      <c r="N47" s="28">
        <v>36</v>
      </c>
      <c r="O47" s="28">
        <v>33</v>
      </c>
      <c r="P47" s="28">
        <v>49</v>
      </c>
      <c r="Q47" s="28">
        <v>1400</v>
      </c>
      <c r="R47" s="28">
        <v>151</v>
      </c>
      <c r="S47" s="28">
        <v>131</v>
      </c>
      <c r="T47" s="28">
        <v>123</v>
      </c>
      <c r="U47" s="28">
        <v>124</v>
      </c>
      <c r="V47" s="28">
        <v>75</v>
      </c>
      <c r="W47" s="28">
        <v>9</v>
      </c>
      <c r="X47" s="28">
        <v>4</v>
      </c>
      <c r="Y47" s="28">
        <v>6</v>
      </c>
      <c r="Z47" s="28">
        <v>4</v>
      </c>
      <c r="AA47" s="26">
        <v>14360</v>
      </c>
      <c r="AB47" s="26">
        <v>1509</v>
      </c>
      <c r="AC47" s="26">
        <v>1475</v>
      </c>
      <c r="AD47" s="26">
        <v>1390</v>
      </c>
      <c r="AE47" s="26">
        <v>1409</v>
      </c>
      <c r="AF47" s="33">
        <f t="shared" si="9"/>
        <v>0.8</v>
      </c>
      <c r="AG47" s="33">
        <f t="shared" si="10"/>
        <v>0.98955613577023482</v>
      </c>
      <c r="AH47" s="33">
        <f t="shared" si="11"/>
        <v>0.97642857142857142</v>
      </c>
      <c r="AI47" s="33">
        <f t="shared" si="12"/>
        <v>0.85333333333333339</v>
      </c>
      <c r="AJ47" s="33">
        <f t="shared" si="13"/>
        <v>1.0201949860724233</v>
      </c>
      <c r="AK47" s="33">
        <f t="shared" si="29"/>
        <v>0.94998563027810945</v>
      </c>
      <c r="AL47" s="40">
        <f>E47/MAX($E$40:$E$47)</f>
        <v>0.53461922692691921</v>
      </c>
      <c r="AM47" s="40">
        <f t="shared" si="31"/>
        <v>4.6357615894039736E-2</v>
      </c>
      <c r="AN47" s="35"/>
      <c r="AO47" s="34">
        <f t="shared" si="16"/>
        <v>36</v>
      </c>
      <c r="AP47" s="34">
        <f t="shared" si="1"/>
        <v>34.63446475195822</v>
      </c>
      <c r="AQ47" s="34">
        <f t="shared" si="2"/>
        <v>7.8114285714285714</v>
      </c>
      <c r="AR47" s="34">
        <f t="shared" si="3"/>
        <v>5.12</v>
      </c>
      <c r="AS47" s="34">
        <f t="shared" si="4"/>
        <v>2.0403899721448466</v>
      </c>
      <c r="AT47" s="34">
        <f t="shared" si="5"/>
        <v>4.7499281513905469</v>
      </c>
      <c r="AU47" s="34">
        <f t="shared" si="6"/>
        <v>2.6730961346345961</v>
      </c>
      <c r="AV47" s="34">
        <f t="shared" si="7"/>
        <v>0.46357615894039739</v>
      </c>
      <c r="AW47" s="92">
        <f t="shared" si="17"/>
        <v>78.521065196923757</v>
      </c>
      <c r="AX47" s="27"/>
      <c r="AY47" s="89">
        <v>1</v>
      </c>
      <c r="AZ47" s="86">
        <v>71.084365600192214</v>
      </c>
      <c r="BA47" s="36"/>
      <c r="BB47" s="36"/>
    </row>
    <row r="48" spans="1:54" s="28" customFormat="1">
      <c r="A48" s="45"/>
      <c r="B48" s="46"/>
      <c r="C48" s="39"/>
      <c r="D48" s="14"/>
      <c r="E48" s="32"/>
      <c r="AF48" s="33" t="e">
        <f t="shared" si="9"/>
        <v>#DIV/0!</v>
      </c>
      <c r="AG48" s="33" t="e">
        <f t="shared" si="10"/>
        <v>#DIV/0!</v>
      </c>
      <c r="AH48" s="33" t="e">
        <f t="shared" si="11"/>
        <v>#DIV/0!</v>
      </c>
      <c r="AI48" s="33" t="e">
        <f t="shared" si="12"/>
        <v>#DIV/0!</v>
      </c>
      <c r="AJ48" s="33" t="e">
        <f t="shared" si="13"/>
        <v>#DIV/0!</v>
      </c>
      <c r="AK48" s="33"/>
      <c r="AL48" s="34"/>
      <c r="AM48" s="34"/>
      <c r="AN48" s="35"/>
      <c r="AO48" s="34" t="e">
        <f t="shared" si="16"/>
        <v>#DIV/0!</v>
      </c>
      <c r="AP48" s="34" t="e">
        <f t="shared" si="1"/>
        <v>#DIV/0!</v>
      </c>
      <c r="AQ48" s="34" t="e">
        <f t="shared" si="2"/>
        <v>#DIV/0!</v>
      </c>
      <c r="AR48" s="34" t="e">
        <f t="shared" si="3"/>
        <v>#DIV/0!</v>
      </c>
      <c r="AS48" s="34" t="e">
        <f t="shared" si="4"/>
        <v>#DIV/0!</v>
      </c>
      <c r="AT48" s="34">
        <f t="shared" si="5"/>
        <v>0</v>
      </c>
      <c r="AU48" s="34">
        <f t="shared" si="6"/>
        <v>0</v>
      </c>
      <c r="AV48" s="34">
        <f t="shared" si="7"/>
        <v>0</v>
      </c>
      <c r="AW48" s="92" t="e">
        <f t="shared" si="17"/>
        <v>#DIV/0!</v>
      </c>
      <c r="AX48" s="27"/>
      <c r="BA48" s="36"/>
      <c r="BB48" s="36"/>
    </row>
    <row r="49" spans="1:54" s="28" customFormat="1">
      <c r="A49" s="29"/>
      <c r="B49" s="30" t="s">
        <v>65</v>
      </c>
      <c r="C49" s="31">
        <v>5</v>
      </c>
      <c r="D49" s="14"/>
      <c r="E49" s="32"/>
      <c r="AF49" s="33" t="e">
        <f t="shared" si="9"/>
        <v>#DIV/0!</v>
      </c>
      <c r="AG49" s="33" t="e">
        <f t="shared" si="10"/>
        <v>#DIV/0!</v>
      </c>
      <c r="AH49" s="33" t="e">
        <f t="shared" si="11"/>
        <v>#DIV/0!</v>
      </c>
      <c r="AI49" s="33" t="e">
        <f t="shared" si="12"/>
        <v>#DIV/0!</v>
      </c>
      <c r="AJ49" s="33" t="e">
        <f t="shared" si="13"/>
        <v>#DIV/0!</v>
      </c>
      <c r="AK49" s="33"/>
      <c r="AL49" s="34"/>
      <c r="AM49" s="34"/>
      <c r="AN49" s="35"/>
      <c r="AO49" s="34" t="e">
        <f t="shared" si="16"/>
        <v>#DIV/0!</v>
      </c>
      <c r="AP49" s="34" t="e">
        <f t="shared" si="1"/>
        <v>#DIV/0!</v>
      </c>
      <c r="AQ49" s="34" t="e">
        <f t="shared" si="2"/>
        <v>#DIV/0!</v>
      </c>
      <c r="AR49" s="34" t="e">
        <f t="shared" si="3"/>
        <v>#DIV/0!</v>
      </c>
      <c r="AS49" s="34" t="e">
        <f t="shared" si="4"/>
        <v>#DIV/0!</v>
      </c>
      <c r="AT49" s="34">
        <f t="shared" si="5"/>
        <v>0</v>
      </c>
      <c r="AU49" s="34">
        <f t="shared" si="6"/>
        <v>0</v>
      </c>
      <c r="AV49" s="34">
        <f t="shared" si="7"/>
        <v>0</v>
      </c>
      <c r="AW49" s="92" t="e">
        <f t="shared" si="17"/>
        <v>#DIV/0!</v>
      </c>
      <c r="AX49" s="27"/>
      <c r="BA49" s="36"/>
      <c r="BB49" s="36"/>
    </row>
    <row r="50" spans="1:54" s="28" customFormat="1">
      <c r="A50" s="49">
        <v>1</v>
      </c>
      <c r="B50" s="42" t="s">
        <v>74</v>
      </c>
      <c r="C50" s="39">
        <v>60</v>
      </c>
      <c r="D50" s="14">
        <v>669250</v>
      </c>
      <c r="E50" s="32">
        <f t="shared" ref="E50:E57" si="32">D50/F50</f>
        <v>66925</v>
      </c>
      <c r="F50" s="28">
        <v>10</v>
      </c>
      <c r="G50" s="14">
        <v>10</v>
      </c>
      <c r="H50" s="14">
        <v>4</v>
      </c>
      <c r="I50" s="14">
        <v>2</v>
      </c>
      <c r="J50" s="14">
        <v>0</v>
      </c>
      <c r="K50" s="14">
        <v>2</v>
      </c>
      <c r="L50" s="28">
        <v>214</v>
      </c>
      <c r="M50" s="28">
        <v>25</v>
      </c>
      <c r="N50" s="28">
        <v>15</v>
      </c>
      <c r="O50" s="28">
        <v>27</v>
      </c>
      <c r="P50" s="28">
        <v>33</v>
      </c>
      <c r="Q50" s="28">
        <v>3744</v>
      </c>
      <c r="R50" s="28">
        <v>534</v>
      </c>
      <c r="S50" s="28">
        <v>501</v>
      </c>
      <c r="T50" s="28">
        <v>453</v>
      </c>
      <c r="U50" s="28">
        <v>428</v>
      </c>
      <c r="V50" s="28">
        <v>188</v>
      </c>
      <c r="W50" s="28">
        <v>28</v>
      </c>
      <c r="X50" s="28">
        <v>22</v>
      </c>
      <c r="Y50" s="28">
        <v>23</v>
      </c>
      <c r="Z50" s="28">
        <v>26</v>
      </c>
      <c r="AA50" s="26">
        <v>13869</v>
      </c>
      <c r="AB50" s="26">
        <v>1610</v>
      </c>
      <c r="AC50" s="26">
        <v>1613</v>
      </c>
      <c r="AD50" s="26">
        <v>1515</v>
      </c>
      <c r="AE50" s="26">
        <v>1535</v>
      </c>
      <c r="AF50" s="33">
        <f t="shared" si="9"/>
        <v>2.4000000000000004</v>
      </c>
      <c r="AG50" s="33">
        <f t="shared" si="10"/>
        <v>1.0841121495327102</v>
      </c>
      <c r="AH50" s="33">
        <f t="shared" si="11"/>
        <v>1.3282585470085471</v>
      </c>
      <c r="AI50" s="33">
        <f t="shared" si="12"/>
        <v>1.3297872340425532</v>
      </c>
      <c r="AJ50" s="33">
        <f t="shared" si="13"/>
        <v>1.1424039224169009</v>
      </c>
      <c r="AK50" s="33">
        <f>AVERAGE(AH50:AJ50)</f>
        <v>1.2668165678226671</v>
      </c>
      <c r="AL50" s="40">
        <f>E50/MAX($E$50:$E$57)</f>
        <v>1</v>
      </c>
      <c r="AM50" s="40">
        <f>(AVERAGE($C$50:$C$57)-C50)/AVERAGE($C$50:$C$57)</f>
        <v>-8.8435374149659865E-2</v>
      </c>
      <c r="AN50" s="35"/>
      <c r="AO50" s="34">
        <f t="shared" si="16"/>
        <v>108.00000000000001</v>
      </c>
      <c r="AP50" s="34">
        <f t="shared" si="1"/>
        <v>37.943925233644855</v>
      </c>
      <c r="AQ50" s="34">
        <f t="shared" si="2"/>
        <v>10.626068376068377</v>
      </c>
      <c r="AR50" s="34">
        <f t="shared" si="3"/>
        <v>7.9787234042553195</v>
      </c>
      <c r="AS50" s="34">
        <f t="shared" si="4"/>
        <v>2.2848078448338018</v>
      </c>
      <c r="AT50" s="34">
        <f t="shared" si="5"/>
        <v>6.3340828391133357</v>
      </c>
      <c r="AU50" s="34">
        <f t="shared" si="6"/>
        <v>5</v>
      </c>
      <c r="AV50" s="34">
        <f t="shared" si="7"/>
        <v>-0.88435374149659862</v>
      </c>
      <c r="AW50" s="92">
        <f t="shared" si="17"/>
        <v>156.39365433126162</v>
      </c>
      <c r="AX50" s="27"/>
      <c r="AY50" s="89">
        <v>1</v>
      </c>
      <c r="AZ50" s="86">
        <v>156.39365433126162</v>
      </c>
      <c r="BA50" s="36"/>
      <c r="BB50" s="36"/>
    </row>
    <row r="51" spans="1:54" s="28" customFormat="1">
      <c r="A51" s="50">
        <v>2</v>
      </c>
      <c r="B51" s="38" t="s">
        <v>75</v>
      </c>
      <c r="C51" s="39">
        <v>59.5</v>
      </c>
      <c r="D51" s="14">
        <v>210825</v>
      </c>
      <c r="E51" s="32">
        <f t="shared" si="32"/>
        <v>21082.5</v>
      </c>
      <c r="F51" s="28">
        <v>10</v>
      </c>
      <c r="G51" s="14">
        <v>10</v>
      </c>
      <c r="H51" s="14">
        <v>1</v>
      </c>
      <c r="I51" s="14">
        <v>0</v>
      </c>
      <c r="J51" s="14">
        <v>0</v>
      </c>
      <c r="K51" s="14">
        <v>1</v>
      </c>
      <c r="L51" s="28">
        <v>353</v>
      </c>
      <c r="M51" s="28">
        <v>51</v>
      </c>
      <c r="N51" s="28">
        <v>62</v>
      </c>
      <c r="O51" s="28">
        <v>48</v>
      </c>
      <c r="P51" s="28">
        <v>57</v>
      </c>
      <c r="Q51" s="28">
        <v>12137</v>
      </c>
      <c r="R51" s="28">
        <v>1512</v>
      </c>
      <c r="S51" s="28">
        <v>1396</v>
      </c>
      <c r="T51" s="28">
        <v>1445</v>
      </c>
      <c r="U51" s="28">
        <v>1278</v>
      </c>
      <c r="V51" s="28">
        <v>25</v>
      </c>
      <c r="W51" s="28">
        <v>4</v>
      </c>
      <c r="X51" s="28">
        <v>2</v>
      </c>
      <c r="Y51" s="28">
        <v>1</v>
      </c>
      <c r="Z51" s="28">
        <v>4</v>
      </c>
      <c r="AA51" s="26">
        <v>300</v>
      </c>
      <c r="AB51" s="26">
        <v>42</v>
      </c>
      <c r="AC51" s="26">
        <v>44</v>
      </c>
      <c r="AD51" s="26">
        <v>37</v>
      </c>
      <c r="AE51" s="26">
        <v>30</v>
      </c>
      <c r="AF51" s="33">
        <f t="shared" si="9"/>
        <v>0.5</v>
      </c>
      <c r="AG51" s="33">
        <f t="shared" si="10"/>
        <v>1.5382436260623231</v>
      </c>
      <c r="AH51" s="33">
        <f t="shared" si="11"/>
        <v>1.1867842135618356</v>
      </c>
      <c r="AI51" s="33">
        <f t="shared" si="12"/>
        <v>1.1199999999999999</v>
      </c>
      <c r="AJ51" s="33">
        <f t="shared" si="13"/>
        <v>1.3466666666666667</v>
      </c>
      <c r="AK51" s="33">
        <f t="shared" ref="AK51:AK57" si="33">AVERAGE(AH51:AJ51)</f>
        <v>1.2178169600761672</v>
      </c>
      <c r="AL51" s="40">
        <f t="shared" ref="AL51:AL56" si="34">E51/MAX($E$50:$E$57)</f>
        <v>0.3150168098617856</v>
      </c>
      <c r="AM51" s="40">
        <f t="shared" ref="AM51:AM57" si="35">(AVERAGE($C$50:$C$57)-C51)/AVERAGE($C$50:$C$57)</f>
        <v>-7.9365079365079361E-2</v>
      </c>
      <c r="AN51" s="35"/>
      <c r="AO51" s="34">
        <f t="shared" si="16"/>
        <v>22.5</v>
      </c>
      <c r="AP51" s="34">
        <f t="shared" si="1"/>
        <v>53.838526912181308</v>
      </c>
      <c r="AQ51" s="34">
        <f t="shared" si="2"/>
        <v>9.4942737084946849</v>
      </c>
      <c r="AR51" s="34">
        <f t="shared" si="3"/>
        <v>6.7199999999999989</v>
      </c>
      <c r="AS51" s="34">
        <f t="shared" si="4"/>
        <v>2.6933333333333334</v>
      </c>
      <c r="AT51" s="34">
        <f t="shared" si="5"/>
        <v>6.089084800380836</v>
      </c>
      <c r="AU51" s="34">
        <f t="shared" si="6"/>
        <v>1.575084049308928</v>
      </c>
      <c r="AV51" s="34">
        <f t="shared" si="7"/>
        <v>-0.79365079365079361</v>
      </c>
      <c r="AW51" s="92">
        <f t="shared" si="17"/>
        <v>83.209044968220269</v>
      </c>
      <c r="AX51" s="27"/>
      <c r="AY51" s="89">
        <v>4</v>
      </c>
      <c r="AZ51" s="86">
        <v>151.4169609549605</v>
      </c>
      <c r="BA51" s="36"/>
      <c r="BB51" s="36"/>
    </row>
    <row r="52" spans="1:54" s="28" customFormat="1">
      <c r="A52" s="49">
        <v>3</v>
      </c>
      <c r="B52" s="42" t="s">
        <v>76</v>
      </c>
      <c r="C52" s="39">
        <v>57</v>
      </c>
      <c r="D52" s="14">
        <v>405975</v>
      </c>
      <c r="E52" s="32">
        <f t="shared" si="32"/>
        <v>40597.5</v>
      </c>
      <c r="F52" s="28">
        <v>10</v>
      </c>
      <c r="G52" s="14">
        <v>10</v>
      </c>
      <c r="H52" s="14">
        <v>2</v>
      </c>
      <c r="I52" s="14">
        <v>1</v>
      </c>
      <c r="J52" s="14">
        <v>1</v>
      </c>
      <c r="K52" s="14">
        <v>0</v>
      </c>
      <c r="L52" s="28">
        <v>148</v>
      </c>
      <c r="M52" s="28">
        <v>9</v>
      </c>
      <c r="N52" s="28">
        <v>20</v>
      </c>
      <c r="O52" s="28">
        <v>14</v>
      </c>
      <c r="P52" s="28">
        <v>17</v>
      </c>
      <c r="Q52" s="28">
        <v>14434</v>
      </c>
      <c r="R52" s="28">
        <v>1830</v>
      </c>
      <c r="S52" s="28">
        <v>1737</v>
      </c>
      <c r="T52" s="28">
        <v>1762</v>
      </c>
      <c r="U52" s="28">
        <v>1698</v>
      </c>
      <c r="V52" s="28">
        <v>233</v>
      </c>
      <c r="W52" s="28">
        <v>29</v>
      </c>
      <c r="X52" s="28">
        <v>28</v>
      </c>
      <c r="Y52" s="28">
        <v>26</v>
      </c>
      <c r="Z52" s="28">
        <v>29</v>
      </c>
      <c r="AA52" s="56">
        <v>473</v>
      </c>
      <c r="AB52" s="56">
        <v>42</v>
      </c>
      <c r="AC52" s="56">
        <v>43</v>
      </c>
      <c r="AD52" s="56">
        <v>42</v>
      </c>
      <c r="AE52" s="56">
        <v>52</v>
      </c>
      <c r="AF52" s="33">
        <f t="shared" si="9"/>
        <v>1.3</v>
      </c>
      <c r="AG52" s="33">
        <f t="shared" si="10"/>
        <v>0.95270270270270285</v>
      </c>
      <c r="AH52" s="33">
        <f t="shared" si="11"/>
        <v>1.2299431896910074</v>
      </c>
      <c r="AI52" s="33">
        <f t="shared" si="12"/>
        <v>1.2060085836909873</v>
      </c>
      <c r="AJ52" s="33">
        <f t="shared" si="13"/>
        <v>0.91543340380549687</v>
      </c>
      <c r="AK52" s="33">
        <f t="shared" si="33"/>
        <v>1.1171283923958304</v>
      </c>
      <c r="AL52" s="40">
        <f t="shared" si="34"/>
        <v>0.60661187896899516</v>
      </c>
      <c r="AM52" s="40">
        <f t="shared" si="35"/>
        <v>-3.4013605442176874E-2</v>
      </c>
      <c r="AN52" s="35"/>
      <c r="AO52" s="34">
        <f t="shared" si="16"/>
        <v>58.5</v>
      </c>
      <c r="AP52" s="34">
        <f t="shared" si="1"/>
        <v>33.344594594594597</v>
      </c>
      <c r="AQ52" s="34">
        <f t="shared" si="2"/>
        <v>9.8395455175280588</v>
      </c>
      <c r="AR52" s="34">
        <f t="shared" si="3"/>
        <v>7.2360515021459237</v>
      </c>
      <c r="AS52" s="34">
        <f t="shared" si="4"/>
        <v>1.8308668076109937</v>
      </c>
      <c r="AT52" s="34">
        <f t="shared" si="5"/>
        <v>5.5856419619791522</v>
      </c>
      <c r="AU52" s="34">
        <f t="shared" si="6"/>
        <v>3.033059394844976</v>
      </c>
      <c r="AV52" s="34">
        <f t="shared" si="7"/>
        <v>-0.34013605442176875</v>
      </c>
      <c r="AW52" s="92">
        <f t="shared" si="17"/>
        <v>100.12315989699697</v>
      </c>
      <c r="AX52" s="27"/>
      <c r="AY52" s="89">
        <v>3</v>
      </c>
      <c r="AZ52" s="86">
        <v>100.12315989699697</v>
      </c>
      <c r="BA52" s="36"/>
      <c r="BB52" s="36"/>
    </row>
    <row r="53" spans="1:54" s="28" customFormat="1">
      <c r="A53" s="50">
        <v>4</v>
      </c>
      <c r="B53" s="38" t="s">
        <v>77</v>
      </c>
      <c r="C53" s="39">
        <v>57</v>
      </c>
      <c r="D53" s="14">
        <v>380450</v>
      </c>
      <c r="E53" s="32">
        <f t="shared" si="32"/>
        <v>38045</v>
      </c>
      <c r="F53" s="28">
        <v>10</v>
      </c>
      <c r="G53" s="14">
        <v>10</v>
      </c>
      <c r="H53" s="14">
        <v>1</v>
      </c>
      <c r="I53" s="14">
        <v>3</v>
      </c>
      <c r="J53" s="14">
        <v>1</v>
      </c>
      <c r="K53" s="14">
        <v>2</v>
      </c>
      <c r="L53" s="28">
        <v>361</v>
      </c>
      <c r="M53" s="28">
        <v>86</v>
      </c>
      <c r="N53" s="28">
        <v>62</v>
      </c>
      <c r="O53" s="28">
        <v>54</v>
      </c>
      <c r="P53" s="28">
        <v>39</v>
      </c>
      <c r="Q53" s="28">
        <v>1164</v>
      </c>
      <c r="R53" s="28">
        <v>107</v>
      </c>
      <c r="S53" s="28">
        <v>117</v>
      </c>
      <c r="T53" s="28">
        <v>106</v>
      </c>
      <c r="U53" s="28">
        <v>127</v>
      </c>
      <c r="V53" s="28">
        <v>45</v>
      </c>
      <c r="W53" s="28">
        <v>8</v>
      </c>
      <c r="X53" s="28">
        <v>12</v>
      </c>
      <c r="Y53" s="28">
        <v>9</v>
      </c>
      <c r="Z53" s="28">
        <v>5</v>
      </c>
      <c r="AA53" s="26">
        <v>9527</v>
      </c>
      <c r="AB53" s="26">
        <v>1008</v>
      </c>
      <c r="AC53" s="26">
        <v>1061</v>
      </c>
      <c r="AD53" s="26">
        <v>1026</v>
      </c>
      <c r="AE53" s="26">
        <v>1059</v>
      </c>
      <c r="AF53" s="33">
        <f t="shared" si="9"/>
        <v>1.6999999999999997</v>
      </c>
      <c r="AG53" s="33">
        <f t="shared" si="10"/>
        <v>1.8753462603878117</v>
      </c>
      <c r="AH53" s="33">
        <f t="shared" si="11"/>
        <v>0.96048109965635753</v>
      </c>
      <c r="AI53" s="33">
        <f t="shared" si="12"/>
        <v>2.0222222222222221</v>
      </c>
      <c r="AJ53" s="33">
        <f t="shared" si="13"/>
        <v>1.0838669045869633</v>
      </c>
      <c r="AK53" s="33">
        <f t="shared" si="33"/>
        <v>1.3555234088218475</v>
      </c>
      <c r="AL53" s="40">
        <f t="shared" si="34"/>
        <v>0.5684721703399328</v>
      </c>
      <c r="AM53" s="40">
        <f t="shared" si="35"/>
        <v>-3.4013605442176874E-2</v>
      </c>
      <c r="AN53" s="35"/>
      <c r="AO53" s="34">
        <f t="shared" si="16"/>
        <v>76.499999999999986</v>
      </c>
      <c r="AP53" s="34">
        <f t="shared" si="1"/>
        <v>65.637119113573405</v>
      </c>
      <c r="AQ53" s="34">
        <f t="shared" si="2"/>
        <v>7.6838487972508602</v>
      </c>
      <c r="AR53" s="34">
        <f t="shared" si="3"/>
        <v>12.133333333333333</v>
      </c>
      <c r="AS53" s="34">
        <f t="shared" si="4"/>
        <v>2.1677338091739267</v>
      </c>
      <c r="AT53" s="34">
        <f t="shared" si="5"/>
        <v>6.7776170441092374</v>
      </c>
      <c r="AU53" s="34">
        <f t="shared" si="6"/>
        <v>2.8423608516996639</v>
      </c>
      <c r="AV53" s="34">
        <f t="shared" si="7"/>
        <v>-0.34013605442176875</v>
      </c>
      <c r="AW53" s="92">
        <f t="shared" si="17"/>
        <v>151.4169609549605</v>
      </c>
      <c r="AX53" s="27"/>
      <c r="AY53" s="89">
        <v>6</v>
      </c>
      <c r="AZ53" s="86">
        <v>98.533216766890121</v>
      </c>
      <c r="BA53" s="36"/>
      <c r="BB53" s="36"/>
    </row>
    <row r="54" spans="1:54" s="28" customFormat="1">
      <c r="A54" s="49">
        <v>5</v>
      </c>
      <c r="B54" s="42" t="s">
        <v>78</v>
      </c>
      <c r="C54" s="39">
        <v>55</v>
      </c>
      <c r="D54" s="14">
        <v>374700</v>
      </c>
      <c r="E54" s="32">
        <f t="shared" si="32"/>
        <v>37470</v>
      </c>
      <c r="F54" s="28">
        <v>10</v>
      </c>
      <c r="G54" s="14">
        <v>10</v>
      </c>
      <c r="H54" s="14">
        <v>2</v>
      </c>
      <c r="I54" s="14">
        <v>1</v>
      </c>
      <c r="J54" s="14">
        <v>0</v>
      </c>
      <c r="K54" s="14">
        <v>0</v>
      </c>
      <c r="L54" s="28">
        <v>153</v>
      </c>
      <c r="M54" s="28">
        <v>12</v>
      </c>
      <c r="N54" s="28">
        <v>11</v>
      </c>
      <c r="O54" s="28">
        <v>11</v>
      </c>
      <c r="P54" s="28">
        <v>13</v>
      </c>
      <c r="Q54" s="28">
        <v>14434</v>
      </c>
      <c r="R54" s="28">
        <v>1830</v>
      </c>
      <c r="S54" s="28">
        <v>1737</v>
      </c>
      <c r="T54" s="28">
        <v>1762</v>
      </c>
      <c r="U54" s="28">
        <v>1698</v>
      </c>
      <c r="V54" s="28">
        <v>241</v>
      </c>
      <c r="W54" s="28">
        <v>34</v>
      </c>
      <c r="X54" s="28">
        <v>31</v>
      </c>
      <c r="Y54" s="28">
        <v>32</v>
      </c>
      <c r="Z54" s="28">
        <v>31</v>
      </c>
      <c r="AA54" s="26">
        <v>4370</v>
      </c>
      <c r="AB54" s="26">
        <v>443</v>
      </c>
      <c r="AC54" s="26">
        <v>445</v>
      </c>
      <c r="AD54" s="26">
        <v>465</v>
      </c>
      <c r="AE54" s="26">
        <v>449</v>
      </c>
      <c r="AF54" s="33">
        <f t="shared" si="9"/>
        <v>1.1000000000000001</v>
      </c>
      <c r="AG54" s="33">
        <f t="shared" si="10"/>
        <v>0.75816993464052296</v>
      </c>
      <c r="AH54" s="33">
        <f t="shared" si="11"/>
        <v>1.2299431896910074</v>
      </c>
      <c r="AI54" s="33">
        <f t="shared" si="12"/>
        <v>1.3443983402489625</v>
      </c>
      <c r="AJ54" s="33">
        <f t="shared" si="13"/>
        <v>1.0265446224256294</v>
      </c>
      <c r="AK54" s="33">
        <f t="shared" si="33"/>
        <v>1.2002953841218664</v>
      </c>
      <c r="AL54" s="40">
        <f t="shared" si="34"/>
        <v>0.55988046320508034</v>
      </c>
      <c r="AM54" s="40">
        <f t="shared" si="35"/>
        <v>2.2675736961451248E-3</v>
      </c>
      <c r="AN54" s="35"/>
      <c r="AO54" s="34">
        <f t="shared" si="16"/>
        <v>49.500000000000007</v>
      </c>
      <c r="AP54" s="34">
        <f t="shared" si="1"/>
        <v>26.535947712418302</v>
      </c>
      <c r="AQ54" s="34">
        <f t="shared" si="2"/>
        <v>9.8395455175280588</v>
      </c>
      <c r="AR54" s="34">
        <f t="shared" si="3"/>
        <v>8.0663900414937757</v>
      </c>
      <c r="AS54" s="34">
        <f t="shared" si="4"/>
        <v>2.0530892448512588</v>
      </c>
      <c r="AT54" s="34">
        <f t="shared" si="5"/>
        <v>6.0014769206093321</v>
      </c>
      <c r="AU54" s="34">
        <f t="shared" si="6"/>
        <v>2.7994023160254016</v>
      </c>
      <c r="AV54" s="34">
        <f t="shared" si="7"/>
        <v>2.2675736961451247E-2</v>
      </c>
      <c r="AW54" s="92">
        <f t="shared" si="17"/>
        <v>84.859502686014494</v>
      </c>
      <c r="AX54" s="27"/>
      <c r="AY54" s="89">
        <v>5</v>
      </c>
      <c r="AZ54" s="86">
        <v>84.859502686014494</v>
      </c>
      <c r="BA54" s="36"/>
      <c r="BB54" s="36"/>
    </row>
    <row r="55" spans="1:54" s="28" customFormat="1">
      <c r="A55" s="50">
        <v>6</v>
      </c>
      <c r="B55" s="38" t="s">
        <v>79</v>
      </c>
      <c r="C55" s="39">
        <v>50</v>
      </c>
      <c r="D55" s="14">
        <v>374150</v>
      </c>
      <c r="E55" s="32">
        <f t="shared" si="32"/>
        <v>37415</v>
      </c>
      <c r="F55" s="28">
        <v>10</v>
      </c>
      <c r="G55" s="14">
        <v>10</v>
      </c>
      <c r="H55" s="14">
        <v>1</v>
      </c>
      <c r="I55" s="14">
        <v>2</v>
      </c>
      <c r="J55" s="14">
        <v>1</v>
      </c>
      <c r="K55" s="14">
        <v>1</v>
      </c>
      <c r="L55" s="28">
        <v>129</v>
      </c>
      <c r="M55" s="28">
        <v>14</v>
      </c>
      <c r="N55" s="28">
        <v>8</v>
      </c>
      <c r="O55" s="28">
        <v>11</v>
      </c>
      <c r="P55" s="28">
        <v>12</v>
      </c>
      <c r="Q55" s="28">
        <v>2073</v>
      </c>
      <c r="R55" s="28">
        <v>214</v>
      </c>
      <c r="S55" s="28">
        <v>233</v>
      </c>
      <c r="T55" s="28">
        <v>208</v>
      </c>
      <c r="U55" s="28">
        <v>226</v>
      </c>
      <c r="V55" s="28">
        <v>186</v>
      </c>
      <c r="W55" s="28">
        <v>19</v>
      </c>
      <c r="X55" s="28">
        <v>16</v>
      </c>
      <c r="Y55" s="28">
        <v>23</v>
      </c>
      <c r="Z55" s="28">
        <v>26</v>
      </c>
      <c r="AA55" s="26">
        <v>9999</v>
      </c>
      <c r="AB55" s="26">
        <v>1158</v>
      </c>
      <c r="AC55" s="26">
        <v>1074</v>
      </c>
      <c r="AD55" s="26">
        <v>1094</v>
      </c>
      <c r="AE55" s="26">
        <v>1089</v>
      </c>
      <c r="AF55" s="33">
        <f t="shared" si="9"/>
        <v>1.3</v>
      </c>
      <c r="AG55" s="33">
        <f t="shared" si="10"/>
        <v>0.88372093023255816</v>
      </c>
      <c r="AH55" s="33">
        <f t="shared" si="11"/>
        <v>1.0598166907863</v>
      </c>
      <c r="AI55" s="33">
        <f t="shared" si="12"/>
        <v>1.053763440860215</v>
      </c>
      <c r="AJ55" s="33">
        <f t="shared" si="13"/>
        <v>1.1132113211321133</v>
      </c>
      <c r="AK55" s="33">
        <f t="shared" si="33"/>
        <v>1.0755971509262094</v>
      </c>
      <c r="AL55" s="40">
        <f t="shared" si="34"/>
        <v>0.55905864774000746</v>
      </c>
      <c r="AM55" s="40">
        <f t="shared" si="35"/>
        <v>9.297052154195011E-2</v>
      </c>
      <c r="AN55" s="35"/>
      <c r="AO55" s="34">
        <f t="shared" si="16"/>
        <v>58.5</v>
      </c>
      <c r="AP55" s="34">
        <f t="shared" si="1"/>
        <v>30.930232558139537</v>
      </c>
      <c r="AQ55" s="34">
        <f t="shared" si="2"/>
        <v>8.4785335262904002</v>
      </c>
      <c r="AR55" s="34">
        <f t="shared" si="3"/>
        <v>6.32258064516129</v>
      </c>
      <c r="AS55" s="34">
        <f t="shared" si="4"/>
        <v>2.2264226422642266</v>
      </c>
      <c r="AT55" s="34">
        <f t="shared" si="5"/>
        <v>5.3779857546310472</v>
      </c>
      <c r="AU55" s="34">
        <f t="shared" si="6"/>
        <v>2.7952932387000375</v>
      </c>
      <c r="AV55" s="34">
        <f t="shared" si="7"/>
        <v>0.92970521541950113</v>
      </c>
      <c r="AW55" s="92">
        <f t="shared" si="17"/>
        <v>98.533216766890121</v>
      </c>
      <c r="AX55" s="27"/>
      <c r="AY55" s="89">
        <v>2</v>
      </c>
      <c r="AZ55" s="86">
        <v>83.209044968220269</v>
      </c>
      <c r="BA55" s="36"/>
      <c r="BB55" s="36"/>
    </row>
    <row r="56" spans="1:54" s="28" customFormat="1">
      <c r="A56" s="51">
        <v>7</v>
      </c>
      <c r="B56" s="44" t="s">
        <v>80</v>
      </c>
      <c r="C56" s="39">
        <v>52.5</v>
      </c>
      <c r="D56" s="14">
        <v>235850</v>
      </c>
      <c r="E56" s="32">
        <f t="shared" si="32"/>
        <v>23585</v>
      </c>
      <c r="F56" s="28">
        <v>10</v>
      </c>
      <c r="G56" s="14">
        <v>10</v>
      </c>
      <c r="H56" s="14">
        <v>0</v>
      </c>
      <c r="I56" s="14">
        <v>2</v>
      </c>
      <c r="J56" s="14">
        <v>2</v>
      </c>
      <c r="K56" s="14">
        <v>0</v>
      </c>
      <c r="L56" s="28">
        <v>153</v>
      </c>
      <c r="M56" s="28">
        <v>10</v>
      </c>
      <c r="N56" s="28">
        <v>12</v>
      </c>
      <c r="O56" s="28">
        <v>9</v>
      </c>
      <c r="P56" s="28">
        <v>18</v>
      </c>
      <c r="Q56" s="28">
        <v>165</v>
      </c>
      <c r="R56" s="28">
        <v>9</v>
      </c>
      <c r="S56" s="28">
        <v>26</v>
      </c>
      <c r="T56" s="28">
        <v>23</v>
      </c>
      <c r="U56" s="28">
        <v>19</v>
      </c>
      <c r="V56" s="28">
        <v>16</v>
      </c>
      <c r="W56" s="28">
        <v>0</v>
      </c>
      <c r="X56" s="28">
        <v>4</v>
      </c>
      <c r="Y56" s="28">
        <v>3</v>
      </c>
      <c r="Z56" s="28">
        <v>0</v>
      </c>
      <c r="AA56" s="26">
        <v>53</v>
      </c>
      <c r="AB56" s="26">
        <v>4</v>
      </c>
      <c r="AC56" s="26">
        <v>7</v>
      </c>
      <c r="AD56" s="26">
        <v>9</v>
      </c>
      <c r="AE56" s="26">
        <v>4</v>
      </c>
      <c r="AF56" s="33">
        <f t="shared" si="9"/>
        <v>1</v>
      </c>
      <c r="AG56" s="33">
        <f t="shared" si="10"/>
        <v>0.73202614379084974</v>
      </c>
      <c r="AH56" s="33">
        <f t="shared" si="11"/>
        <v>1.0848484848484847</v>
      </c>
      <c r="AI56" s="33">
        <f t="shared" si="12"/>
        <v>1.125</v>
      </c>
      <c r="AJ56" s="33">
        <f t="shared" si="13"/>
        <v>1.1132075471698113</v>
      </c>
      <c r="AK56" s="33">
        <f t="shared" si="33"/>
        <v>1.1076853440060987</v>
      </c>
      <c r="AL56" s="40">
        <f t="shared" si="34"/>
        <v>0.35240941352259991</v>
      </c>
      <c r="AM56" s="40">
        <f t="shared" si="35"/>
        <v>4.7619047619047616E-2</v>
      </c>
      <c r="AN56" s="35"/>
      <c r="AO56" s="34">
        <f t="shared" si="16"/>
        <v>45</v>
      </c>
      <c r="AP56" s="34">
        <f t="shared" si="1"/>
        <v>25.62091503267974</v>
      </c>
      <c r="AQ56" s="34">
        <f t="shared" si="2"/>
        <v>8.6787878787878778</v>
      </c>
      <c r="AR56" s="34">
        <f t="shared" si="3"/>
        <v>6.75</v>
      </c>
      <c r="AS56" s="34">
        <f t="shared" si="4"/>
        <v>2.2264150943396226</v>
      </c>
      <c r="AT56" s="34">
        <f t="shared" si="5"/>
        <v>5.5384267200304933</v>
      </c>
      <c r="AU56" s="34">
        <f t="shared" si="6"/>
        <v>1.7620470676129996</v>
      </c>
      <c r="AV56" s="34">
        <f t="shared" si="7"/>
        <v>0.47619047619047616</v>
      </c>
      <c r="AW56" s="92">
        <f t="shared" si="17"/>
        <v>78.397579296513697</v>
      </c>
      <c r="AX56" s="27"/>
      <c r="AY56" s="89">
        <v>8</v>
      </c>
      <c r="AZ56" s="86">
        <v>81.11072797747336</v>
      </c>
      <c r="BA56" s="36"/>
      <c r="BB56" s="36"/>
    </row>
    <row r="57" spans="1:54" s="28" customFormat="1">
      <c r="A57" s="50">
        <v>8</v>
      </c>
      <c r="B57" s="38" t="s">
        <v>81</v>
      </c>
      <c r="C57" s="39">
        <v>50</v>
      </c>
      <c r="D57" s="14">
        <v>260300</v>
      </c>
      <c r="E57" s="32">
        <f t="shared" si="32"/>
        <v>43383.333333333336</v>
      </c>
      <c r="F57" s="28">
        <v>6</v>
      </c>
      <c r="G57" s="14">
        <v>6</v>
      </c>
      <c r="H57" s="14">
        <v>1</v>
      </c>
      <c r="I57" s="14">
        <v>0</v>
      </c>
      <c r="J57" s="14">
        <v>0</v>
      </c>
      <c r="K57" s="14">
        <v>1</v>
      </c>
      <c r="L57" s="28">
        <v>76</v>
      </c>
      <c r="M57" s="28">
        <v>8</v>
      </c>
      <c r="N57" s="28">
        <v>5</v>
      </c>
      <c r="O57" s="28">
        <v>8</v>
      </c>
      <c r="P57" s="28">
        <v>11</v>
      </c>
      <c r="Q57" s="28">
        <v>311</v>
      </c>
      <c r="R57" s="28">
        <v>46</v>
      </c>
      <c r="S57" s="28">
        <v>31</v>
      </c>
      <c r="T57" s="28">
        <v>34</v>
      </c>
      <c r="U57" s="28">
        <v>32</v>
      </c>
      <c r="V57" s="28">
        <v>6</v>
      </c>
      <c r="W57" s="28">
        <v>1</v>
      </c>
      <c r="X57" s="28">
        <v>0</v>
      </c>
      <c r="Y57" s="28">
        <v>0</v>
      </c>
      <c r="Z57" s="28">
        <v>1</v>
      </c>
      <c r="AA57" s="26">
        <v>2860</v>
      </c>
      <c r="AB57" s="26">
        <v>347</v>
      </c>
      <c r="AC57" s="26">
        <v>306</v>
      </c>
      <c r="AD57" s="26">
        <v>360</v>
      </c>
      <c r="AE57" s="26">
        <v>323</v>
      </c>
      <c r="AF57" s="33">
        <f t="shared" si="9"/>
        <v>0.83333333333333326</v>
      </c>
      <c r="AG57" s="33">
        <f t="shared" si="10"/>
        <v>0.97368421052631582</v>
      </c>
      <c r="AH57" s="33">
        <f t="shared" si="11"/>
        <v>1.212218649517685</v>
      </c>
      <c r="AI57" s="33">
        <f t="shared" si="12"/>
        <v>0.83333333333333326</v>
      </c>
      <c r="AJ57" s="33">
        <f t="shared" si="13"/>
        <v>1.170979020979021</v>
      </c>
      <c r="AK57" s="33">
        <f t="shared" si="33"/>
        <v>1.0721770012766798</v>
      </c>
      <c r="AL57" s="40">
        <f>E57/MAX($E$50:$E$57)</f>
        <v>0.64823807744988171</v>
      </c>
      <c r="AM57" s="40">
        <f t="shared" si="35"/>
        <v>9.297052154195011E-2</v>
      </c>
      <c r="AN57" s="35"/>
      <c r="AO57" s="34">
        <f t="shared" si="16"/>
        <v>37.5</v>
      </c>
      <c r="AP57" s="34">
        <f t="shared" si="1"/>
        <v>34.078947368421055</v>
      </c>
      <c r="AQ57" s="34">
        <f t="shared" si="2"/>
        <v>9.6977491961414799</v>
      </c>
      <c r="AR57" s="34">
        <f t="shared" si="3"/>
        <v>5</v>
      </c>
      <c r="AS57" s="34">
        <f t="shared" si="4"/>
        <v>2.3419580419580419</v>
      </c>
      <c r="AT57" s="34">
        <f t="shared" si="5"/>
        <v>5.3608850063833993</v>
      </c>
      <c r="AU57" s="34">
        <f t="shared" si="6"/>
        <v>3.2411903872494086</v>
      </c>
      <c r="AV57" s="34">
        <f t="shared" si="7"/>
        <v>0.92970521541950113</v>
      </c>
      <c r="AW57" s="92">
        <f t="shared" si="17"/>
        <v>81.11072797747336</v>
      </c>
      <c r="AX57" s="27"/>
      <c r="AY57" s="89">
        <v>7</v>
      </c>
      <c r="AZ57" s="86">
        <v>78.397579296513697</v>
      </c>
      <c r="BA57" s="36"/>
      <c r="BB57" s="36"/>
    </row>
    <row r="58" spans="1:54" s="28" customFormat="1">
      <c r="A58" s="52"/>
      <c r="B58" s="53"/>
      <c r="C58" s="39"/>
      <c r="D58" s="14"/>
      <c r="E58" s="32"/>
      <c r="AF58" s="33" t="e">
        <f t="shared" si="9"/>
        <v>#DIV/0!</v>
      </c>
      <c r="AG58" s="33" t="e">
        <f t="shared" si="10"/>
        <v>#DIV/0!</v>
      </c>
      <c r="AH58" s="33" t="e">
        <f t="shared" si="11"/>
        <v>#DIV/0!</v>
      </c>
      <c r="AI58" s="33" t="e">
        <f t="shared" si="12"/>
        <v>#DIV/0!</v>
      </c>
      <c r="AJ58" s="33" t="e">
        <f t="shared" si="13"/>
        <v>#DIV/0!</v>
      </c>
      <c r="AK58" s="33"/>
      <c r="AL58" s="34"/>
      <c r="AM58" s="34"/>
      <c r="AN58" s="35"/>
      <c r="AO58" s="34" t="e">
        <f t="shared" si="16"/>
        <v>#DIV/0!</v>
      </c>
      <c r="AP58" s="34" t="e">
        <f t="shared" si="1"/>
        <v>#DIV/0!</v>
      </c>
      <c r="AQ58" s="34" t="e">
        <f t="shared" si="2"/>
        <v>#DIV/0!</v>
      </c>
      <c r="AR58" s="34" t="e">
        <f t="shared" si="3"/>
        <v>#DIV/0!</v>
      </c>
      <c r="AS58" s="34" t="e">
        <f t="shared" si="4"/>
        <v>#DIV/0!</v>
      </c>
      <c r="AT58" s="34">
        <f t="shared" si="5"/>
        <v>0</v>
      </c>
      <c r="AU58" s="34">
        <f t="shared" si="6"/>
        <v>0</v>
      </c>
      <c r="AV58" s="34">
        <f t="shared" si="7"/>
        <v>0</v>
      </c>
      <c r="AW58" s="92" t="e">
        <f t="shared" si="17"/>
        <v>#DIV/0!</v>
      </c>
      <c r="AX58" s="27"/>
      <c r="BA58" s="36"/>
      <c r="BB58" s="36"/>
    </row>
    <row r="59" spans="1:54" s="28" customFormat="1">
      <c r="A59" s="29"/>
      <c r="B59" s="30" t="s">
        <v>82</v>
      </c>
      <c r="C59" s="31">
        <v>6</v>
      </c>
      <c r="D59" s="14"/>
      <c r="E59" s="32"/>
      <c r="AF59" s="33" t="e">
        <f t="shared" si="9"/>
        <v>#DIV/0!</v>
      </c>
      <c r="AG59" s="33" t="e">
        <f t="shared" si="10"/>
        <v>#DIV/0!</v>
      </c>
      <c r="AH59" s="33" t="e">
        <f t="shared" si="11"/>
        <v>#DIV/0!</v>
      </c>
      <c r="AI59" s="33" t="e">
        <f t="shared" si="12"/>
        <v>#DIV/0!</v>
      </c>
      <c r="AJ59" s="33" t="e">
        <f t="shared" si="13"/>
        <v>#DIV/0!</v>
      </c>
      <c r="AK59" s="33"/>
      <c r="AL59" s="34"/>
      <c r="AM59" s="34"/>
      <c r="AN59" s="35"/>
      <c r="AO59" s="34" t="e">
        <f t="shared" si="16"/>
        <v>#DIV/0!</v>
      </c>
      <c r="AP59" s="34" t="e">
        <f t="shared" si="1"/>
        <v>#DIV/0!</v>
      </c>
      <c r="AQ59" s="34" t="e">
        <f t="shared" si="2"/>
        <v>#DIV/0!</v>
      </c>
      <c r="AR59" s="34" t="e">
        <f t="shared" si="3"/>
        <v>#DIV/0!</v>
      </c>
      <c r="AS59" s="34" t="e">
        <f t="shared" si="4"/>
        <v>#DIV/0!</v>
      </c>
      <c r="AT59" s="34">
        <f t="shared" si="5"/>
        <v>0</v>
      </c>
      <c r="AU59" s="34">
        <f t="shared" si="6"/>
        <v>0</v>
      </c>
      <c r="AV59" s="34">
        <f t="shared" si="7"/>
        <v>0</v>
      </c>
      <c r="AW59" s="92" t="e">
        <f t="shared" si="17"/>
        <v>#DIV/0!</v>
      </c>
      <c r="AX59" s="27"/>
      <c r="BA59" s="36"/>
      <c r="BB59" s="36"/>
    </row>
    <row r="60" spans="1:54" s="28" customFormat="1">
      <c r="A60" s="49">
        <v>1</v>
      </c>
      <c r="B60" s="57" t="s">
        <v>83</v>
      </c>
      <c r="C60" s="39">
        <v>57</v>
      </c>
      <c r="D60" s="14">
        <v>0</v>
      </c>
      <c r="E60" s="32">
        <v>1</v>
      </c>
      <c r="F60" s="28">
        <v>1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28">
        <v>10</v>
      </c>
      <c r="M60" s="28">
        <v>0</v>
      </c>
      <c r="N60" s="28">
        <v>0</v>
      </c>
      <c r="O60" s="28">
        <v>0</v>
      </c>
      <c r="P60" s="28">
        <v>2</v>
      </c>
      <c r="Q60" s="28">
        <v>256</v>
      </c>
      <c r="R60" s="28">
        <v>18</v>
      </c>
      <c r="S60" s="28">
        <v>32</v>
      </c>
      <c r="T60" s="28">
        <v>31</v>
      </c>
      <c r="U60" s="28">
        <v>19</v>
      </c>
      <c r="V60" s="28">
        <v>40</v>
      </c>
      <c r="W60" s="28">
        <v>1</v>
      </c>
      <c r="X60" s="28">
        <v>0</v>
      </c>
      <c r="Y60" s="28">
        <v>4</v>
      </c>
      <c r="Z60" s="28">
        <v>1</v>
      </c>
      <c r="AA60" s="26">
        <v>1615</v>
      </c>
      <c r="AB60" s="26">
        <v>207</v>
      </c>
      <c r="AC60" s="26">
        <v>176</v>
      </c>
      <c r="AD60" s="26">
        <v>167</v>
      </c>
      <c r="AE60" s="26">
        <v>142</v>
      </c>
      <c r="AF60" s="33">
        <f t="shared" si="9"/>
        <v>0</v>
      </c>
      <c r="AG60" s="33">
        <f t="shared" si="10"/>
        <v>0.2</v>
      </c>
      <c r="AH60" s="33">
        <f t="shared" si="11"/>
        <v>0.97265625</v>
      </c>
      <c r="AI60" s="33">
        <f t="shared" si="12"/>
        <v>0.32500000000000007</v>
      </c>
      <c r="AJ60" s="33">
        <f t="shared" si="13"/>
        <v>1.1343653250773995</v>
      </c>
      <c r="AK60" s="33">
        <f t="shared" ref="AK60:AK68" si="36">AVERAGE(AH60:AJ60)</f>
        <v>0.81067385835913319</v>
      </c>
      <c r="AL60" s="40">
        <f>E60/MAX($E$60:$E$68)</f>
        <v>1</v>
      </c>
      <c r="AM60" s="40">
        <f>(AVERAGE($C$60:$C$68)-C60)/AVERAGE($C$60:$C$68)</f>
        <v>0</v>
      </c>
      <c r="AN60" s="35"/>
      <c r="AO60" s="34">
        <f t="shared" si="16"/>
        <v>0</v>
      </c>
      <c r="AP60" s="34">
        <f t="shared" si="1"/>
        <v>7</v>
      </c>
      <c r="AQ60" s="34">
        <f t="shared" si="2"/>
        <v>7.78125</v>
      </c>
      <c r="AR60" s="34">
        <f t="shared" si="3"/>
        <v>1.9500000000000004</v>
      </c>
      <c r="AS60" s="34">
        <f t="shared" si="4"/>
        <v>2.268730650154799</v>
      </c>
      <c r="AT60" s="34">
        <f t="shared" si="5"/>
        <v>4.0533692917956659</v>
      </c>
      <c r="AU60" s="34">
        <f t="shared" si="6"/>
        <v>5</v>
      </c>
      <c r="AV60" s="34">
        <f t="shared" si="7"/>
        <v>0</v>
      </c>
      <c r="AW60" s="92">
        <f t="shared" si="17"/>
        <v>16.053369291795665</v>
      </c>
      <c r="AX60" s="27"/>
      <c r="AY60" s="89">
        <v>4</v>
      </c>
      <c r="AZ60" s="86">
        <v>73.649107057577908</v>
      </c>
      <c r="BA60" s="36"/>
      <c r="BB60" s="36"/>
    </row>
    <row r="61" spans="1:54" s="28" customFormat="1">
      <c r="A61" s="50">
        <v>2</v>
      </c>
      <c r="B61" s="38" t="s">
        <v>84</v>
      </c>
      <c r="C61" s="39">
        <v>57</v>
      </c>
      <c r="D61" s="14">
        <v>0</v>
      </c>
      <c r="E61" s="32">
        <f t="shared" ref="E61:E68" si="37">D61/F61</f>
        <v>0</v>
      </c>
      <c r="F61" s="28">
        <v>1</v>
      </c>
      <c r="G61" s="14">
        <v>1</v>
      </c>
      <c r="H61" s="14">
        <v>0</v>
      </c>
      <c r="I61" s="14">
        <v>0</v>
      </c>
      <c r="J61" s="14">
        <v>0</v>
      </c>
      <c r="K61" s="14">
        <v>0</v>
      </c>
      <c r="L61" s="28">
        <v>361</v>
      </c>
      <c r="M61" s="28">
        <v>51</v>
      </c>
      <c r="N61" s="28">
        <v>63</v>
      </c>
      <c r="O61" s="28">
        <v>48</v>
      </c>
      <c r="P61" s="28">
        <v>59</v>
      </c>
      <c r="Q61" s="28">
        <v>3703</v>
      </c>
      <c r="R61" s="28">
        <v>453</v>
      </c>
      <c r="S61" s="28">
        <v>416</v>
      </c>
      <c r="T61" s="28">
        <v>426</v>
      </c>
      <c r="U61" s="28">
        <v>351</v>
      </c>
      <c r="V61" s="28">
        <v>87</v>
      </c>
      <c r="W61" s="28">
        <v>21</v>
      </c>
      <c r="X61" s="28">
        <v>14</v>
      </c>
      <c r="Y61" s="28">
        <v>20</v>
      </c>
      <c r="Z61" s="28">
        <v>10</v>
      </c>
      <c r="AA61" s="26">
        <v>2460</v>
      </c>
      <c r="AB61" s="26">
        <v>254</v>
      </c>
      <c r="AC61" s="26">
        <v>256</v>
      </c>
      <c r="AD61" s="26">
        <v>280</v>
      </c>
      <c r="AE61" s="26">
        <v>271</v>
      </c>
      <c r="AF61" s="33">
        <f t="shared" si="9"/>
        <v>0</v>
      </c>
      <c r="AG61" s="33">
        <f t="shared" si="10"/>
        <v>1.5180055401662051</v>
      </c>
      <c r="AH61" s="33">
        <f t="shared" si="11"/>
        <v>1.1512287334593572</v>
      </c>
      <c r="AI61" s="33">
        <f t="shared" si="12"/>
        <v>2.0229885057471266</v>
      </c>
      <c r="AJ61" s="33">
        <f t="shared" si="13"/>
        <v>1.0630081300813008</v>
      </c>
      <c r="AK61" s="33">
        <f t="shared" si="36"/>
        <v>1.4124084564292616</v>
      </c>
      <c r="AL61" s="40">
        <f t="shared" ref="AL61:AL68" si="38">E61/MAX($E$50:$E$57)</f>
        <v>0</v>
      </c>
      <c r="AM61" s="40">
        <f t="shared" ref="AM61:AM68" si="39">(AVERAGE($C$60:$C$68)-C61)/AVERAGE($C$60:$C$68)</f>
        <v>0</v>
      </c>
      <c r="AN61" s="35"/>
      <c r="AO61" s="34">
        <f t="shared" si="16"/>
        <v>0</v>
      </c>
      <c r="AP61" s="34">
        <f t="shared" si="1"/>
        <v>53.13019390581718</v>
      </c>
      <c r="AQ61" s="34">
        <f t="shared" si="2"/>
        <v>9.2098298676748573</v>
      </c>
      <c r="AR61" s="34">
        <f t="shared" si="3"/>
        <v>12.13793103448276</v>
      </c>
      <c r="AS61" s="34">
        <f t="shared" si="4"/>
        <v>2.1260162601626016</v>
      </c>
      <c r="AT61" s="34">
        <f t="shared" si="5"/>
        <v>7.062042282146308</v>
      </c>
      <c r="AU61" s="34">
        <f t="shared" si="6"/>
        <v>0</v>
      </c>
      <c r="AV61" s="34">
        <f t="shared" si="7"/>
        <v>0</v>
      </c>
      <c r="AW61" s="92">
        <f t="shared" si="17"/>
        <v>60.192236187963488</v>
      </c>
      <c r="AX61" s="27"/>
      <c r="AY61" s="89">
        <v>9</v>
      </c>
      <c r="AZ61" s="86">
        <v>72.907827071165229</v>
      </c>
      <c r="BA61" s="36"/>
      <c r="BB61" s="36"/>
    </row>
    <row r="62" spans="1:54" s="28" customFormat="1">
      <c r="A62" s="49">
        <v>3</v>
      </c>
      <c r="B62" s="42" t="s">
        <v>85</v>
      </c>
      <c r="C62" s="39">
        <v>57</v>
      </c>
      <c r="D62" s="14">
        <v>0</v>
      </c>
      <c r="E62" s="32">
        <f t="shared" si="37"/>
        <v>0</v>
      </c>
      <c r="F62" s="28">
        <v>1</v>
      </c>
      <c r="G62" s="14">
        <v>1</v>
      </c>
      <c r="H62" s="14">
        <v>0</v>
      </c>
      <c r="I62" s="14">
        <v>0</v>
      </c>
      <c r="J62" s="14">
        <v>0</v>
      </c>
      <c r="K62" s="14">
        <v>0</v>
      </c>
      <c r="L62" s="28">
        <v>403</v>
      </c>
      <c r="M62" s="28">
        <v>80</v>
      </c>
      <c r="N62" s="28">
        <v>74</v>
      </c>
      <c r="O62" s="28">
        <v>50</v>
      </c>
      <c r="P62" s="28">
        <v>58</v>
      </c>
      <c r="Q62" s="28">
        <v>7026</v>
      </c>
      <c r="R62" s="28">
        <v>804</v>
      </c>
      <c r="S62" s="28">
        <v>780</v>
      </c>
      <c r="T62" s="28">
        <v>839</v>
      </c>
      <c r="U62" s="28">
        <v>815</v>
      </c>
      <c r="V62" s="28">
        <v>220</v>
      </c>
      <c r="W62" s="28">
        <v>46</v>
      </c>
      <c r="X62" s="28">
        <v>22</v>
      </c>
      <c r="Y62" s="28">
        <v>36</v>
      </c>
      <c r="Z62" s="28">
        <v>15</v>
      </c>
      <c r="AA62" s="26">
        <v>883</v>
      </c>
      <c r="AB62" s="26">
        <v>149</v>
      </c>
      <c r="AC62" s="26">
        <v>112</v>
      </c>
      <c r="AD62" s="26">
        <v>110</v>
      </c>
      <c r="AE62" s="26">
        <v>91</v>
      </c>
      <c r="AF62" s="33">
        <f t="shared" si="9"/>
        <v>0</v>
      </c>
      <c r="AG62" s="33">
        <f t="shared" si="10"/>
        <v>1.7369727047146404</v>
      </c>
      <c r="AH62" s="33">
        <f t="shared" si="11"/>
        <v>1.1456020495303159</v>
      </c>
      <c r="AI62" s="33">
        <f t="shared" si="12"/>
        <v>1.5318181818181815</v>
      </c>
      <c r="AJ62" s="33">
        <f t="shared" si="13"/>
        <v>1.4077010192525481</v>
      </c>
      <c r="AK62" s="33">
        <f t="shared" si="36"/>
        <v>1.361707083533682</v>
      </c>
      <c r="AL62" s="40">
        <f t="shared" si="38"/>
        <v>0</v>
      </c>
      <c r="AM62" s="40">
        <f t="shared" si="39"/>
        <v>0</v>
      </c>
      <c r="AN62" s="35"/>
      <c r="AO62" s="34">
        <f t="shared" si="16"/>
        <v>0</v>
      </c>
      <c r="AP62" s="34">
        <f t="shared" si="1"/>
        <v>60.794044665012414</v>
      </c>
      <c r="AQ62" s="34">
        <f t="shared" si="2"/>
        <v>9.1648163962425269</v>
      </c>
      <c r="AR62" s="34">
        <f t="shared" si="3"/>
        <v>9.1909090909090896</v>
      </c>
      <c r="AS62" s="34">
        <f t="shared" si="4"/>
        <v>2.8154020385050962</v>
      </c>
      <c r="AT62" s="34">
        <f t="shared" si="5"/>
        <v>6.8085354176684101</v>
      </c>
      <c r="AU62" s="34">
        <f t="shared" si="6"/>
        <v>0</v>
      </c>
      <c r="AV62" s="34">
        <f t="shared" si="7"/>
        <v>0</v>
      </c>
      <c r="AW62" s="92">
        <f t="shared" si="17"/>
        <v>67.602580082680831</v>
      </c>
      <c r="AX62" s="27"/>
      <c r="AY62" s="89">
        <v>3</v>
      </c>
      <c r="AZ62" s="86">
        <v>67.602580082680831</v>
      </c>
      <c r="BA62" s="36"/>
      <c r="BB62" s="36"/>
    </row>
    <row r="63" spans="1:54" s="28" customFormat="1">
      <c r="A63" s="50">
        <v>4</v>
      </c>
      <c r="B63" s="58" t="s">
        <v>86</v>
      </c>
      <c r="C63" s="39">
        <v>57</v>
      </c>
      <c r="D63" s="14">
        <v>0</v>
      </c>
      <c r="E63" s="32">
        <f t="shared" si="37"/>
        <v>0</v>
      </c>
      <c r="F63" s="28">
        <v>1</v>
      </c>
      <c r="G63" s="14">
        <v>1</v>
      </c>
      <c r="H63" s="14">
        <v>0</v>
      </c>
      <c r="I63" s="14">
        <v>0</v>
      </c>
      <c r="J63" s="14">
        <v>0</v>
      </c>
      <c r="K63" s="14">
        <v>0</v>
      </c>
      <c r="L63" s="28">
        <v>388</v>
      </c>
      <c r="M63" s="28">
        <v>97</v>
      </c>
      <c r="N63" s="28">
        <v>69</v>
      </c>
      <c r="O63" s="28">
        <v>62</v>
      </c>
      <c r="P63" s="28">
        <v>52</v>
      </c>
      <c r="Q63" s="28">
        <v>1424</v>
      </c>
      <c r="R63" s="28">
        <v>120</v>
      </c>
      <c r="S63" s="28">
        <v>125</v>
      </c>
      <c r="T63" s="28">
        <v>133</v>
      </c>
      <c r="U63" s="28">
        <v>115</v>
      </c>
      <c r="V63" s="28">
        <v>228</v>
      </c>
      <c r="W63" s="28">
        <v>42</v>
      </c>
      <c r="X63" s="28">
        <v>35</v>
      </c>
      <c r="Y63" s="28">
        <v>30</v>
      </c>
      <c r="Z63" s="28">
        <v>30</v>
      </c>
      <c r="AA63" s="26">
        <v>1</v>
      </c>
      <c r="AB63" s="26">
        <v>0</v>
      </c>
      <c r="AC63" s="26">
        <v>0</v>
      </c>
      <c r="AD63" s="26">
        <v>0</v>
      </c>
      <c r="AE63" s="26">
        <v>0</v>
      </c>
      <c r="AF63" s="33">
        <f t="shared" si="9"/>
        <v>0</v>
      </c>
      <c r="AG63" s="33">
        <f t="shared" si="10"/>
        <v>1.9871134020618555</v>
      </c>
      <c r="AH63" s="33">
        <f t="shared" si="11"/>
        <v>0.86797752808988771</v>
      </c>
      <c r="AI63" s="33">
        <f t="shared" si="12"/>
        <v>1.5921052631578945</v>
      </c>
      <c r="AJ63" s="33">
        <f t="shared" si="13"/>
        <v>0</v>
      </c>
      <c r="AK63" s="33">
        <f t="shared" si="36"/>
        <v>0.8200275970825941</v>
      </c>
      <c r="AL63" s="40">
        <f t="shared" si="38"/>
        <v>0</v>
      </c>
      <c r="AM63" s="40">
        <f t="shared" si="39"/>
        <v>0</v>
      </c>
      <c r="AN63" s="35"/>
      <c r="AO63" s="34">
        <f t="shared" si="16"/>
        <v>0</v>
      </c>
      <c r="AP63" s="34">
        <f t="shared" si="1"/>
        <v>69.548969072164937</v>
      </c>
      <c r="AQ63" s="34">
        <f t="shared" si="2"/>
        <v>6.9438202247191017</v>
      </c>
      <c r="AR63" s="34">
        <f t="shared" si="3"/>
        <v>9.5526315789473664</v>
      </c>
      <c r="AS63" s="34">
        <f t="shared" si="4"/>
        <v>0</v>
      </c>
      <c r="AT63" s="34">
        <f t="shared" si="5"/>
        <v>4.1001379854129709</v>
      </c>
      <c r="AU63" s="34">
        <f t="shared" si="6"/>
        <v>0</v>
      </c>
      <c r="AV63" s="34">
        <f t="shared" si="7"/>
        <v>0</v>
      </c>
      <c r="AW63" s="92">
        <f t="shared" si="17"/>
        <v>73.649107057577908</v>
      </c>
      <c r="AX63" s="27"/>
      <c r="AY63" s="89">
        <v>7</v>
      </c>
      <c r="AZ63" s="86">
        <v>62.210989387994857</v>
      </c>
      <c r="BA63" s="36"/>
      <c r="BB63" s="36"/>
    </row>
    <row r="64" spans="1:54" s="28" customFormat="1">
      <c r="A64" s="49">
        <v>5</v>
      </c>
      <c r="B64" s="42" t="s">
        <v>87</v>
      </c>
      <c r="C64" s="39">
        <v>57</v>
      </c>
      <c r="D64" s="14">
        <v>0</v>
      </c>
      <c r="E64" s="32">
        <f t="shared" si="37"/>
        <v>0</v>
      </c>
      <c r="F64" s="28">
        <v>1</v>
      </c>
      <c r="G64" s="14">
        <v>1</v>
      </c>
      <c r="H64" s="14">
        <v>0</v>
      </c>
      <c r="I64" s="14">
        <v>0</v>
      </c>
      <c r="J64" s="14">
        <v>0</v>
      </c>
      <c r="K64" s="14">
        <v>0</v>
      </c>
      <c r="L64" s="28">
        <v>408</v>
      </c>
      <c r="M64" s="28">
        <v>42</v>
      </c>
      <c r="N64" s="28">
        <v>37</v>
      </c>
      <c r="O64" s="28">
        <v>38</v>
      </c>
      <c r="P64" s="28">
        <v>50</v>
      </c>
      <c r="Q64" s="28">
        <v>734</v>
      </c>
      <c r="R64" s="28">
        <v>49</v>
      </c>
      <c r="S64" s="28">
        <v>66</v>
      </c>
      <c r="T64" s="28">
        <v>72</v>
      </c>
      <c r="U64" s="28">
        <v>79</v>
      </c>
      <c r="V64" s="28">
        <v>1</v>
      </c>
      <c r="W64" s="28">
        <v>0</v>
      </c>
      <c r="X64" s="28">
        <v>0</v>
      </c>
      <c r="Y64" s="28">
        <v>0</v>
      </c>
      <c r="Z64" s="28">
        <v>0</v>
      </c>
      <c r="AA64" s="26">
        <v>227</v>
      </c>
      <c r="AB64" s="26">
        <v>27</v>
      </c>
      <c r="AC64" s="26">
        <v>27</v>
      </c>
      <c r="AD64" s="26">
        <v>21</v>
      </c>
      <c r="AE64" s="26">
        <v>21</v>
      </c>
      <c r="AF64" s="33">
        <f t="shared" si="9"/>
        <v>0</v>
      </c>
      <c r="AG64" s="33">
        <f t="shared" si="10"/>
        <v>0.99264705882352944</v>
      </c>
      <c r="AH64" s="33">
        <f t="shared" si="11"/>
        <v>0.84059945504087197</v>
      </c>
      <c r="AI64" s="33">
        <f t="shared" si="12"/>
        <v>0</v>
      </c>
      <c r="AJ64" s="33">
        <f t="shared" si="13"/>
        <v>1.1101321585903086</v>
      </c>
      <c r="AK64" s="33">
        <f t="shared" si="36"/>
        <v>0.65024387121039351</v>
      </c>
      <c r="AL64" s="40">
        <f t="shared" si="38"/>
        <v>0</v>
      </c>
      <c r="AM64" s="40">
        <f t="shared" si="39"/>
        <v>0</v>
      </c>
      <c r="AN64" s="35"/>
      <c r="AO64" s="34">
        <f t="shared" si="16"/>
        <v>0</v>
      </c>
      <c r="AP64" s="34">
        <f t="shared" si="1"/>
        <v>34.742647058823529</v>
      </c>
      <c r="AQ64" s="34">
        <f t="shared" si="2"/>
        <v>6.7247956403269757</v>
      </c>
      <c r="AR64" s="34">
        <f t="shared" si="3"/>
        <v>0</v>
      </c>
      <c r="AS64" s="34">
        <f t="shared" si="4"/>
        <v>2.2202643171806171</v>
      </c>
      <c r="AT64" s="34">
        <f t="shared" si="5"/>
        <v>3.2512193560519673</v>
      </c>
      <c r="AU64" s="34">
        <f t="shared" si="6"/>
        <v>0</v>
      </c>
      <c r="AV64" s="34">
        <f t="shared" si="7"/>
        <v>0</v>
      </c>
      <c r="AW64" s="92">
        <f t="shared" si="17"/>
        <v>37.993866414875498</v>
      </c>
      <c r="AX64" s="27"/>
      <c r="AY64" s="89">
        <v>2</v>
      </c>
      <c r="AZ64" s="86">
        <v>60.192236187963488</v>
      </c>
      <c r="BA64" s="36"/>
      <c r="BB64" s="36"/>
    </row>
    <row r="65" spans="1:54" s="28" customFormat="1">
      <c r="A65" s="50">
        <v>6</v>
      </c>
      <c r="B65" s="38" t="s">
        <v>88</v>
      </c>
      <c r="C65" s="39">
        <v>57</v>
      </c>
      <c r="D65" s="14">
        <v>0</v>
      </c>
      <c r="E65" s="32">
        <f t="shared" si="37"/>
        <v>0</v>
      </c>
      <c r="F65" s="28">
        <v>1</v>
      </c>
      <c r="G65" s="14">
        <v>1</v>
      </c>
      <c r="H65" s="14">
        <v>0</v>
      </c>
      <c r="I65" s="14">
        <v>0</v>
      </c>
      <c r="J65" s="14">
        <v>0</v>
      </c>
      <c r="K65" s="14">
        <v>0</v>
      </c>
      <c r="L65" s="28">
        <v>352</v>
      </c>
      <c r="M65" s="28">
        <v>47</v>
      </c>
      <c r="N65" s="28">
        <v>66</v>
      </c>
      <c r="O65" s="28">
        <v>47</v>
      </c>
      <c r="P65" s="28">
        <v>40</v>
      </c>
      <c r="Q65" s="28">
        <v>1899</v>
      </c>
      <c r="R65" s="28">
        <v>194</v>
      </c>
      <c r="S65" s="28">
        <v>157</v>
      </c>
      <c r="T65" s="28">
        <v>191</v>
      </c>
      <c r="U65" s="28">
        <v>184</v>
      </c>
      <c r="V65" s="28">
        <v>233</v>
      </c>
      <c r="W65" s="28">
        <v>26</v>
      </c>
      <c r="X65" s="28">
        <v>24</v>
      </c>
      <c r="Y65" s="28">
        <v>22</v>
      </c>
      <c r="Z65" s="28">
        <v>22</v>
      </c>
      <c r="AA65" s="26">
        <v>6305</v>
      </c>
      <c r="AB65" s="26">
        <v>676</v>
      </c>
      <c r="AC65" s="26">
        <v>712</v>
      </c>
      <c r="AD65" s="26">
        <v>634</v>
      </c>
      <c r="AE65" s="26">
        <v>638</v>
      </c>
      <c r="AF65" s="33">
        <f t="shared" si="9"/>
        <v>0</v>
      </c>
      <c r="AG65" s="33">
        <f t="shared" si="10"/>
        <v>1.4772727272727273</v>
      </c>
      <c r="AH65" s="33">
        <f t="shared" si="11"/>
        <v>0.95471300684570826</v>
      </c>
      <c r="AI65" s="33">
        <f t="shared" si="12"/>
        <v>1.0386266094420602</v>
      </c>
      <c r="AJ65" s="33">
        <f t="shared" si="13"/>
        <v>1.0699444885011895</v>
      </c>
      <c r="AK65" s="33">
        <f t="shared" si="36"/>
        <v>1.0210947015963194</v>
      </c>
      <c r="AL65" s="40">
        <f t="shared" si="38"/>
        <v>0</v>
      </c>
      <c r="AM65" s="40">
        <f t="shared" si="39"/>
        <v>0</v>
      </c>
      <c r="AN65" s="35"/>
      <c r="AO65" s="34">
        <f t="shared" si="16"/>
        <v>0</v>
      </c>
      <c r="AP65" s="34">
        <f t="shared" si="1"/>
        <v>51.704545454545453</v>
      </c>
      <c r="AQ65" s="34">
        <f t="shared" si="2"/>
        <v>7.6377040547656661</v>
      </c>
      <c r="AR65" s="34">
        <f t="shared" si="3"/>
        <v>6.2317596566523612</v>
      </c>
      <c r="AS65" s="34">
        <f t="shared" si="4"/>
        <v>2.139888977002379</v>
      </c>
      <c r="AT65" s="34">
        <f t="shared" si="5"/>
        <v>5.1054735079815972</v>
      </c>
      <c r="AU65" s="34">
        <f t="shared" si="6"/>
        <v>0</v>
      </c>
      <c r="AV65" s="34">
        <f t="shared" si="7"/>
        <v>0</v>
      </c>
      <c r="AW65" s="92">
        <f t="shared" si="17"/>
        <v>56.810018962527053</v>
      </c>
      <c r="AX65" s="27"/>
      <c r="AY65" s="89">
        <v>6</v>
      </c>
      <c r="AZ65" s="86">
        <v>56.810018962527053</v>
      </c>
      <c r="BA65" s="36"/>
      <c r="BB65" s="36"/>
    </row>
    <row r="66" spans="1:54" s="28" customFormat="1" ht="18.95" customHeight="1">
      <c r="A66" s="49">
        <v>7</v>
      </c>
      <c r="B66" s="42" t="s">
        <v>89</v>
      </c>
      <c r="C66" s="39">
        <v>57</v>
      </c>
      <c r="D66" s="14">
        <v>0</v>
      </c>
      <c r="E66" s="32">
        <f t="shared" si="37"/>
        <v>0</v>
      </c>
      <c r="F66" s="28">
        <v>1</v>
      </c>
      <c r="G66" s="14">
        <v>1</v>
      </c>
      <c r="H66" s="14">
        <v>0</v>
      </c>
      <c r="I66" s="14">
        <v>0</v>
      </c>
      <c r="J66" s="14">
        <v>0</v>
      </c>
      <c r="K66" s="14">
        <v>0</v>
      </c>
      <c r="L66" s="28">
        <v>311</v>
      </c>
      <c r="M66" s="28">
        <v>56</v>
      </c>
      <c r="N66" s="28">
        <v>47</v>
      </c>
      <c r="O66" s="28">
        <v>38</v>
      </c>
      <c r="P66" s="28">
        <v>48</v>
      </c>
      <c r="Q66" s="28">
        <v>97</v>
      </c>
      <c r="R66" s="28">
        <v>15</v>
      </c>
      <c r="S66" s="28">
        <v>14</v>
      </c>
      <c r="T66" s="28">
        <v>16</v>
      </c>
      <c r="U66" s="28">
        <v>11</v>
      </c>
      <c r="V66" s="28">
        <v>106</v>
      </c>
      <c r="W66" s="28">
        <v>18</v>
      </c>
      <c r="X66" s="28">
        <v>18</v>
      </c>
      <c r="Y66" s="28">
        <v>16</v>
      </c>
      <c r="Z66" s="28">
        <v>13</v>
      </c>
      <c r="AA66" s="26">
        <v>266</v>
      </c>
      <c r="AB66" s="26">
        <v>33</v>
      </c>
      <c r="AC66" s="26">
        <v>30</v>
      </c>
      <c r="AD66" s="26">
        <v>33</v>
      </c>
      <c r="AE66" s="26">
        <v>31</v>
      </c>
      <c r="AF66" s="33">
        <f t="shared" si="9"/>
        <v>0</v>
      </c>
      <c r="AG66" s="33">
        <f t="shared" si="10"/>
        <v>1.572347266881029</v>
      </c>
      <c r="AH66" s="33">
        <f t="shared" si="11"/>
        <v>1.4948453608247423</v>
      </c>
      <c r="AI66" s="33">
        <f t="shared" si="12"/>
        <v>1.6132075471698113</v>
      </c>
      <c r="AJ66" s="33">
        <f t="shared" si="13"/>
        <v>1.1992481203007519</v>
      </c>
      <c r="AK66" s="33">
        <f t="shared" si="36"/>
        <v>1.4357670094317685</v>
      </c>
      <c r="AL66" s="40">
        <f t="shared" si="38"/>
        <v>0</v>
      </c>
      <c r="AM66" s="40">
        <f t="shared" si="39"/>
        <v>0</v>
      </c>
      <c r="AN66" s="35"/>
      <c r="AO66" s="34">
        <f t="shared" si="16"/>
        <v>0</v>
      </c>
      <c r="AP66" s="34">
        <f t="shared" si="1"/>
        <v>55.032154340836016</v>
      </c>
      <c r="AQ66" s="34">
        <f t="shared" si="2"/>
        <v>11.958762886597938</v>
      </c>
      <c r="AR66" s="34">
        <f t="shared" si="3"/>
        <v>9.6792452830188687</v>
      </c>
      <c r="AS66" s="34">
        <f t="shared" si="4"/>
        <v>2.3984962406015038</v>
      </c>
      <c r="AT66" s="34">
        <f t="shared" si="5"/>
        <v>7.1788350471588425</v>
      </c>
      <c r="AU66" s="34">
        <f t="shared" si="6"/>
        <v>0</v>
      </c>
      <c r="AV66" s="34">
        <f t="shared" si="7"/>
        <v>0</v>
      </c>
      <c r="AW66" s="92">
        <f t="shared" si="17"/>
        <v>62.210989387994857</v>
      </c>
      <c r="AX66" s="27"/>
      <c r="AY66" s="89">
        <v>8</v>
      </c>
      <c r="AZ66" s="86">
        <v>49.107625330532869</v>
      </c>
      <c r="BA66" s="36"/>
      <c r="BB66" s="36"/>
    </row>
    <row r="67" spans="1:54" s="28" customFormat="1">
      <c r="A67" s="50">
        <v>8</v>
      </c>
      <c r="B67" s="38" t="s">
        <v>90</v>
      </c>
      <c r="C67" s="39">
        <v>57</v>
      </c>
      <c r="D67" s="14">
        <v>0</v>
      </c>
      <c r="E67" s="32">
        <f t="shared" si="37"/>
        <v>0</v>
      </c>
      <c r="F67" s="28">
        <v>1</v>
      </c>
      <c r="G67" s="14">
        <v>1</v>
      </c>
      <c r="H67" s="14">
        <v>0</v>
      </c>
      <c r="I67" s="14">
        <v>0</v>
      </c>
      <c r="J67" s="14">
        <v>0</v>
      </c>
      <c r="K67" s="14">
        <v>0</v>
      </c>
      <c r="L67" s="28">
        <v>473</v>
      </c>
      <c r="M67" s="28">
        <v>70</v>
      </c>
      <c r="N67" s="28">
        <v>53</v>
      </c>
      <c r="O67" s="28">
        <v>55</v>
      </c>
      <c r="P67" s="28">
        <v>61</v>
      </c>
      <c r="Q67" s="28">
        <v>403</v>
      </c>
      <c r="R67" s="28">
        <v>55</v>
      </c>
      <c r="S67" s="28">
        <v>61</v>
      </c>
      <c r="T67" s="28">
        <v>53</v>
      </c>
      <c r="U67" s="28">
        <v>40</v>
      </c>
      <c r="V67" s="28">
        <v>1</v>
      </c>
      <c r="W67" s="28">
        <v>0</v>
      </c>
      <c r="X67" s="28">
        <v>0</v>
      </c>
      <c r="Y67" s="28">
        <v>0</v>
      </c>
      <c r="Z67" s="28">
        <v>0</v>
      </c>
      <c r="AA67" s="26">
        <v>14365</v>
      </c>
      <c r="AB67" s="26">
        <v>1509</v>
      </c>
      <c r="AC67" s="26">
        <v>1475</v>
      </c>
      <c r="AD67" s="26">
        <v>1390</v>
      </c>
      <c r="AE67" s="26">
        <v>1409</v>
      </c>
      <c r="AF67" s="33">
        <f t="shared" si="9"/>
        <v>0</v>
      </c>
      <c r="AG67" s="33">
        <f t="shared" si="10"/>
        <v>1.2896405919661733</v>
      </c>
      <c r="AH67" s="33">
        <f t="shared" si="11"/>
        <v>1.3622828784119108</v>
      </c>
      <c r="AI67" s="33">
        <f t="shared" si="12"/>
        <v>0</v>
      </c>
      <c r="AJ67" s="33">
        <f t="shared" si="13"/>
        <v>1.0198398886181692</v>
      </c>
      <c r="AK67" s="33">
        <f t="shared" si="36"/>
        <v>0.7940409223433601</v>
      </c>
      <c r="AL67" s="40">
        <f t="shared" si="38"/>
        <v>0</v>
      </c>
      <c r="AM67" s="40">
        <f t="shared" si="39"/>
        <v>0</v>
      </c>
      <c r="AN67" s="35"/>
      <c r="AO67" s="34">
        <f t="shared" si="16"/>
        <v>0</v>
      </c>
      <c r="AP67" s="34">
        <f t="shared" si="1"/>
        <v>45.137420718816067</v>
      </c>
      <c r="AQ67" s="34">
        <f t="shared" si="2"/>
        <v>10.898263027295286</v>
      </c>
      <c r="AR67" s="34">
        <f t="shared" si="3"/>
        <v>0</v>
      </c>
      <c r="AS67" s="34">
        <f t="shared" si="4"/>
        <v>2.0396797772363384</v>
      </c>
      <c r="AT67" s="34">
        <f t="shared" si="5"/>
        <v>3.9702046117168006</v>
      </c>
      <c r="AU67" s="34">
        <f t="shared" si="6"/>
        <v>0</v>
      </c>
      <c r="AV67" s="34">
        <f t="shared" si="7"/>
        <v>0</v>
      </c>
      <c r="AW67" s="92">
        <f t="shared" si="17"/>
        <v>49.107625330532869</v>
      </c>
      <c r="AX67" s="27"/>
      <c r="AY67" s="89">
        <v>5</v>
      </c>
      <c r="AZ67" s="86">
        <v>37.993866414875498</v>
      </c>
      <c r="BA67" s="36"/>
      <c r="BB67" s="36"/>
    </row>
    <row r="68" spans="1:54" s="28" customFormat="1">
      <c r="A68" s="51">
        <v>9</v>
      </c>
      <c r="B68" s="44" t="s">
        <v>91</v>
      </c>
      <c r="C68" s="39">
        <v>57</v>
      </c>
      <c r="D68" s="14">
        <v>0</v>
      </c>
      <c r="E68" s="32">
        <f t="shared" si="37"/>
        <v>0</v>
      </c>
      <c r="F68" s="28">
        <v>1</v>
      </c>
      <c r="G68" s="14">
        <v>1</v>
      </c>
      <c r="H68" s="14">
        <v>0</v>
      </c>
      <c r="I68" s="14">
        <v>0</v>
      </c>
      <c r="J68" s="14">
        <v>0</v>
      </c>
      <c r="K68" s="14">
        <v>0</v>
      </c>
      <c r="L68" s="28">
        <v>423</v>
      </c>
      <c r="M68" s="28">
        <v>99</v>
      </c>
      <c r="N68" s="28">
        <v>63</v>
      </c>
      <c r="O68" s="28">
        <v>89</v>
      </c>
      <c r="P68" s="28">
        <v>54</v>
      </c>
      <c r="Q68" s="28">
        <v>132</v>
      </c>
      <c r="R68" s="28">
        <v>15</v>
      </c>
      <c r="S68" s="28">
        <v>13</v>
      </c>
      <c r="T68" s="28">
        <v>15</v>
      </c>
      <c r="U68" s="28">
        <v>19</v>
      </c>
      <c r="V68" s="28">
        <v>131</v>
      </c>
      <c r="W68" s="28">
        <v>18</v>
      </c>
      <c r="X68" s="28">
        <v>14</v>
      </c>
      <c r="Y68" s="28">
        <v>13</v>
      </c>
      <c r="Z68" s="28">
        <v>6</v>
      </c>
      <c r="AA68" s="26">
        <v>7212</v>
      </c>
      <c r="AB68" s="26">
        <v>700</v>
      </c>
      <c r="AC68" s="26">
        <v>685</v>
      </c>
      <c r="AD68" s="26">
        <v>670</v>
      </c>
      <c r="AE68" s="26">
        <v>647</v>
      </c>
      <c r="AF68" s="33">
        <f t="shared" si="9"/>
        <v>0</v>
      </c>
      <c r="AG68" s="33">
        <f t="shared" si="10"/>
        <v>1.9314420803782504</v>
      </c>
      <c r="AH68" s="33">
        <f t="shared" si="11"/>
        <v>1.1212121212121213</v>
      </c>
      <c r="AI68" s="33">
        <f t="shared" si="12"/>
        <v>1.1145038167938932</v>
      </c>
      <c r="AJ68" s="33">
        <f t="shared" si="13"/>
        <v>0.94869661674986128</v>
      </c>
      <c r="AK68" s="33">
        <f t="shared" si="36"/>
        <v>1.061470851585292</v>
      </c>
      <c r="AL68" s="40">
        <f t="shared" si="38"/>
        <v>0</v>
      </c>
      <c r="AM68" s="40">
        <f t="shared" si="39"/>
        <v>0</v>
      </c>
      <c r="AN68" s="35"/>
      <c r="AO68" s="34">
        <f t="shared" si="16"/>
        <v>0</v>
      </c>
      <c r="AP68" s="34">
        <f t="shared" si="1"/>
        <v>67.600472813238767</v>
      </c>
      <c r="AQ68" s="34">
        <f t="shared" si="2"/>
        <v>8.9696969696969706</v>
      </c>
      <c r="AR68" s="34">
        <f t="shared" si="3"/>
        <v>6.6870229007633597</v>
      </c>
      <c r="AS68" s="34">
        <f t="shared" si="4"/>
        <v>1.8973932334997226</v>
      </c>
      <c r="AT68" s="34">
        <f t="shared" si="5"/>
        <v>5.3073542579264599</v>
      </c>
      <c r="AU68" s="34">
        <f t="shared" si="6"/>
        <v>0</v>
      </c>
      <c r="AV68" s="34">
        <f t="shared" si="7"/>
        <v>0</v>
      </c>
      <c r="AW68" s="92">
        <f t="shared" si="17"/>
        <v>72.907827071165229</v>
      </c>
      <c r="AX68" s="27"/>
      <c r="AY68" s="89">
        <v>1</v>
      </c>
      <c r="AZ68" s="86">
        <v>16.053369291795665</v>
      </c>
      <c r="BA68" s="36"/>
      <c r="BB68" s="36"/>
    </row>
    <row r="69" spans="1:54" s="28" customFormat="1">
      <c r="A69" s="45"/>
      <c r="B69" s="46"/>
      <c r="C69" s="46"/>
      <c r="D69" s="14"/>
      <c r="E69" s="32"/>
      <c r="AF69" s="33" t="e">
        <f t="shared" si="9"/>
        <v>#DIV/0!</v>
      </c>
      <c r="AG69" s="33" t="e">
        <f t="shared" si="10"/>
        <v>#DIV/0!</v>
      </c>
      <c r="AH69" s="33" t="e">
        <f t="shared" si="11"/>
        <v>#DIV/0!</v>
      </c>
      <c r="AI69" s="33" t="e">
        <f t="shared" si="12"/>
        <v>#DIV/0!</v>
      </c>
      <c r="AJ69" s="33" t="e">
        <f t="shared" si="13"/>
        <v>#DIV/0!</v>
      </c>
      <c r="AK69" s="33"/>
      <c r="AL69" s="34"/>
      <c r="AM69" s="34"/>
      <c r="AN69" s="35"/>
      <c r="AO69" s="34" t="e">
        <f t="shared" si="16"/>
        <v>#DIV/0!</v>
      </c>
      <c r="AP69" s="34" t="e">
        <f t="shared" si="1"/>
        <v>#DIV/0!</v>
      </c>
      <c r="AQ69" s="34" t="e">
        <f t="shared" si="2"/>
        <v>#DIV/0!</v>
      </c>
      <c r="AR69" s="34" t="e">
        <f t="shared" si="3"/>
        <v>#DIV/0!</v>
      </c>
      <c r="AS69" s="34" t="e">
        <f t="shared" si="4"/>
        <v>#DIV/0!</v>
      </c>
      <c r="AT69" s="34">
        <f t="shared" si="5"/>
        <v>0</v>
      </c>
      <c r="AU69" s="34">
        <f t="shared" si="6"/>
        <v>0</v>
      </c>
      <c r="AV69" s="34">
        <f t="shared" si="7"/>
        <v>0</v>
      </c>
      <c r="AW69" s="92" t="e">
        <f t="shared" si="17"/>
        <v>#DIV/0!</v>
      </c>
      <c r="AX69" s="27"/>
      <c r="BA69" s="36"/>
      <c r="BB69" s="36"/>
    </row>
    <row r="70" spans="1:54" s="28" customFormat="1">
      <c r="A70" s="29"/>
      <c r="B70" s="30" t="s">
        <v>34</v>
      </c>
      <c r="C70" s="31">
        <v>7</v>
      </c>
      <c r="D70" s="14"/>
      <c r="E70" s="32"/>
      <c r="AF70" s="33" t="e">
        <f t="shared" si="9"/>
        <v>#DIV/0!</v>
      </c>
      <c r="AG70" s="33" t="e">
        <f t="shared" si="10"/>
        <v>#DIV/0!</v>
      </c>
      <c r="AH70" s="33" t="e">
        <f t="shared" si="11"/>
        <v>#DIV/0!</v>
      </c>
      <c r="AI70" s="33" t="e">
        <f t="shared" si="12"/>
        <v>#DIV/0!</v>
      </c>
      <c r="AJ70" s="33" t="e">
        <f t="shared" si="13"/>
        <v>#DIV/0!</v>
      </c>
      <c r="AK70" s="33"/>
      <c r="AL70" s="34"/>
      <c r="AM70" s="34"/>
      <c r="AN70" s="35"/>
      <c r="AO70" s="34" t="e">
        <f t="shared" si="16"/>
        <v>#DIV/0!</v>
      </c>
      <c r="AP70" s="34" t="e">
        <f t="shared" ref="AP70:AP77" si="40">AG70*$AP$3</f>
        <v>#DIV/0!</v>
      </c>
      <c r="AQ70" s="34" t="e">
        <f t="shared" ref="AQ70:AQ77" si="41">AH70*$AQ$3</f>
        <v>#DIV/0!</v>
      </c>
      <c r="AR70" s="34" t="e">
        <f t="shared" ref="AR70:AR77" si="42">AI70*$AR$3</f>
        <v>#DIV/0!</v>
      </c>
      <c r="AS70" s="34" t="e">
        <f t="shared" ref="AS70:AS77" si="43">AJ70*$AS$3</f>
        <v>#DIV/0!</v>
      </c>
      <c r="AT70" s="34">
        <f t="shared" ref="AT70:AT77" si="44">AK70*$AT$3</f>
        <v>0</v>
      </c>
      <c r="AU70" s="34">
        <f t="shared" ref="AU70:AU77" si="45">AL70*$AU$3</f>
        <v>0</v>
      </c>
      <c r="AV70" s="34">
        <f t="shared" ref="AV70:AV77" si="46">AM70*$AV$3</f>
        <v>0</v>
      </c>
      <c r="AW70" s="92" t="e">
        <f t="shared" ref="AW70:AW77" si="47">(AO70)+(AP70)+(AT70)+(AU70)+(AV70)</f>
        <v>#DIV/0!</v>
      </c>
      <c r="AX70" s="27"/>
      <c r="BA70" s="36"/>
      <c r="BB70" s="36"/>
    </row>
    <row r="71" spans="1:54" s="28" customFormat="1">
      <c r="A71" s="49">
        <v>1</v>
      </c>
      <c r="B71" s="42" t="s">
        <v>92</v>
      </c>
      <c r="C71" s="39">
        <v>60</v>
      </c>
      <c r="D71" s="14">
        <v>119000</v>
      </c>
      <c r="E71" s="32">
        <f t="shared" ref="E71:E76" si="48">D71/F71</f>
        <v>11900</v>
      </c>
      <c r="F71" s="28">
        <v>10</v>
      </c>
      <c r="G71" s="14">
        <v>10</v>
      </c>
      <c r="H71" s="14">
        <v>0</v>
      </c>
      <c r="I71" s="14">
        <v>1</v>
      </c>
      <c r="J71" s="14">
        <v>2</v>
      </c>
      <c r="K71" s="14">
        <v>1</v>
      </c>
      <c r="L71" s="28">
        <v>160</v>
      </c>
      <c r="M71" s="28">
        <v>9</v>
      </c>
      <c r="N71" s="28">
        <v>14</v>
      </c>
      <c r="O71" s="28">
        <v>17</v>
      </c>
      <c r="P71" s="28">
        <v>10</v>
      </c>
      <c r="Q71" s="28">
        <v>1586</v>
      </c>
      <c r="R71" s="28">
        <v>177</v>
      </c>
      <c r="S71" s="28">
        <v>183</v>
      </c>
      <c r="T71" s="28">
        <v>169</v>
      </c>
      <c r="U71" s="28">
        <v>157</v>
      </c>
      <c r="V71" s="28">
        <v>214</v>
      </c>
      <c r="W71" s="28">
        <v>31</v>
      </c>
      <c r="X71" s="28">
        <v>35</v>
      </c>
      <c r="Y71" s="28">
        <v>30</v>
      </c>
      <c r="Z71" s="28">
        <v>18</v>
      </c>
      <c r="AA71" s="26">
        <v>499</v>
      </c>
      <c r="AB71" s="26">
        <v>65</v>
      </c>
      <c r="AC71" s="26">
        <v>70</v>
      </c>
      <c r="AD71" s="26">
        <v>70</v>
      </c>
      <c r="AE71" s="26">
        <v>52</v>
      </c>
      <c r="AF71" s="33">
        <f t="shared" ref="AF71:AF77" si="49">(H71/G71*4)+(I71/G71*3)+(J71/G71*2)+(K71/G71*1)</f>
        <v>0.8</v>
      </c>
      <c r="AG71" s="33">
        <f t="shared" ref="AG71:AG77" si="50">(M71/L71*4)+(N71/L71*3)+(O71/L71*2)+(P71/L71*1)</f>
        <v>0.76249999999999996</v>
      </c>
      <c r="AH71" s="33">
        <f t="shared" ref="AH71:AH77" si="51">(R71/Q71*4)+(S71/Q71*3)+(T71/Q71*2)+(U71/Q71*1)</f>
        <v>1.1046658259773015</v>
      </c>
      <c r="AI71" s="33">
        <f t="shared" ref="AI71:AI77" si="52">(W71/V71*4)+(X71/V71*3)+(Y71/V71*2)+(Z71/V71*1)</f>
        <v>1.4345794392523363</v>
      </c>
      <c r="AJ71" s="33">
        <f t="shared" ref="AJ71:AJ77" si="53">(AB71/AA71*4)+(AC71/AA71*3)+(AD71/AA71*2)+(AE71/AA71*1)</f>
        <v>1.3266533066132262</v>
      </c>
      <c r="AK71" s="33">
        <f t="shared" ref="AK71:AK76" si="54">AVERAGE(AH71:AJ71)</f>
        <v>1.2886328572809547</v>
      </c>
      <c r="AL71" s="40">
        <f>E71/MAX($E$71:$E$76)</f>
        <v>0.18759359974777332</v>
      </c>
      <c r="AM71" s="40">
        <f>(AVERAGE($C$71:$C$76)-C71)/AVERAGE($C$71:$C$76)</f>
        <v>-4.9562682215743482E-2</v>
      </c>
      <c r="AN71" s="35"/>
      <c r="AO71" s="34">
        <f t="shared" ref="AO71:AO77" si="55">AF71*$AO$3</f>
        <v>36</v>
      </c>
      <c r="AP71" s="34">
        <f t="shared" si="40"/>
        <v>26.6875</v>
      </c>
      <c r="AQ71" s="34">
        <f t="shared" si="41"/>
        <v>8.8373266078184116</v>
      </c>
      <c r="AR71" s="34">
        <f t="shared" si="42"/>
        <v>8.6074766355140184</v>
      </c>
      <c r="AS71" s="34">
        <f t="shared" si="43"/>
        <v>2.6533066132264524</v>
      </c>
      <c r="AT71" s="34">
        <f t="shared" si="44"/>
        <v>6.4431642864047731</v>
      </c>
      <c r="AU71" s="34">
        <f t="shared" si="45"/>
        <v>0.9379679987388666</v>
      </c>
      <c r="AV71" s="34">
        <f t="shared" si="46"/>
        <v>-0.49562682215743481</v>
      </c>
      <c r="AW71" s="92">
        <f t="shared" si="47"/>
        <v>69.573005462986202</v>
      </c>
      <c r="AX71" s="27"/>
      <c r="AY71" s="89">
        <v>4</v>
      </c>
      <c r="AZ71" s="86">
        <v>152.13823236262112</v>
      </c>
      <c r="BA71" s="36"/>
      <c r="BB71" s="36"/>
    </row>
    <row r="72" spans="1:54" s="28" customFormat="1">
      <c r="A72" s="50">
        <v>2</v>
      </c>
      <c r="B72" s="38" t="s">
        <v>54</v>
      </c>
      <c r="C72" s="39">
        <v>60</v>
      </c>
      <c r="D72" s="14">
        <v>585800</v>
      </c>
      <c r="E72" s="32">
        <f t="shared" si="48"/>
        <v>58580</v>
      </c>
      <c r="F72" s="28">
        <v>10</v>
      </c>
      <c r="G72" s="14">
        <v>10</v>
      </c>
      <c r="H72" s="14">
        <v>2</v>
      </c>
      <c r="I72" s="14">
        <v>2</v>
      </c>
      <c r="J72" s="14">
        <v>1</v>
      </c>
      <c r="K72" s="14">
        <v>0</v>
      </c>
      <c r="L72" s="28">
        <v>463</v>
      </c>
      <c r="M72" s="28">
        <v>61</v>
      </c>
      <c r="N72" s="28">
        <v>63</v>
      </c>
      <c r="O72" s="28">
        <v>52</v>
      </c>
      <c r="P72" s="28">
        <v>61</v>
      </c>
      <c r="Q72" s="28">
        <v>12162</v>
      </c>
      <c r="R72" s="28">
        <v>1516</v>
      </c>
      <c r="S72" s="28">
        <v>1401</v>
      </c>
      <c r="T72" s="28">
        <v>1448</v>
      </c>
      <c r="U72" s="28">
        <v>1279</v>
      </c>
      <c r="V72" s="28">
        <v>145</v>
      </c>
      <c r="W72" s="28">
        <v>14</v>
      </c>
      <c r="X72" s="28">
        <v>14</v>
      </c>
      <c r="Y72" s="28">
        <v>12</v>
      </c>
      <c r="Z72" s="28">
        <v>14</v>
      </c>
      <c r="AA72" s="26">
        <v>1</v>
      </c>
      <c r="AB72" s="26">
        <v>0</v>
      </c>
      <c r="AC72" s="26">
        <v>0</v>
      </c>
      <c r="AD72" s="26">
        <v>0</v>
      </c>
      <c r="AE72" s="26">
        <v>0</v>
      </c>
      <c r="AF72" s="33">
        <f t="shared" si="49"/>
        <v>1.6</v>
      </c>
      <c r="AG72" s="33">
        <f t="shared" si="50"/>
        <v>1.2915766738660905</v>
      </c>
      <c r="AH72" s="33">
        <f t="shared" si="51"/>
        <v>1.1874691662555501</v>
      </c>
      <c r="AI72" s="33">
        <f t="shared" si="52"/>
        <v>0.93793103448275861</v>
      </c>
      <c r="AJ72" s="33">
        <f t="shared" si="53"/>
        <v>0</v>
      </c>
      <c r="AK72" s="33">
        <f t="shared" si="54"/>
        <v>0.70846673357943624</v>
      </c>
      <c r="AL72" s="40">
        <f t="shared" ref="AL72:AL76" si="56">E72/MAX($E$71:$E$76)</f>
        <v>0.92346496413651769</v>
      </c>
      <c r="AM72" s="40">
        <f t="shared" ref="AM72:AM76" si="57">(AVERAGE($C$71:$C$76)-C72)/AVERAGE($C$71:$C$76)</f>
        <v>-4.9562682215743482E-2</v>
      </c>
      <c r="AN72" s="35"/>
      <c r="AO72" s="34">
        <f t="shared" si="55"/>
        <v>72</v>
      </c>
      <c r="AP72" s="34">
        <f t="shared" si="40"/>
        <v>45.205183585313172</v>
      </c>
      <c r="AQ72" s="34">
        <f t="shared" si="41"/>
        <v>9.4997533300444008</v>
      </c>
      <c r="AR72" s="34">
        <f t="shared" si="42"/>
        <v>5.6275862068965514</v>
      </c>
      <c r="AS72" s="34">
        <f t="shared" si="43"/>
        <v>0</v>
      </c>
      <c r="AT72" s="34">
        <f t="shared" si="44"/>
        <v>3.5423336678971813</v>
      </c>
      <c r="AU72" s="34">
        <f t="shared" si="45"/>
        <v>4.6173248206825885</v>
      </c>
      <c r="AV72" s="34">
        <f t="shared" si="46"/>
        <v>-0.49562682215743481</v>
      </c>
      <c r="AW72" s="92">
        <f t="shared" si="47"/>
        <v>124.8692152517355</v>
      </c>
      <c r="AX72" s="27"/>
      <c r="AY72" s="89">
        <v>6</v>
      </c>
      <c r="AZ72" s="86">
        <v>133.81541922403434</v>
      </c>
      <c r="BA72" s="36"/>
      <c r="BB72" s="36"/>
    </row>
    <row r="73" spans="1:54" s="28" customFormat="1">
      <c r="A73" s="49">
        <v>3</v>
      </c>
      <c r="B73" s="42" t="s">
        <v>93</v>
      </c>
      <c r="C73" s="39">
        <v>56</v>
      </c>
      <c r="D73" s="14">
        <v>634350</v>
      </c>
      <c r="E73" s="32">
        <f t="shared" si="48"/>
        <v>63435</v>
      </c>
      <c r="F73" s="28">
        <v>10</v>
      </c>
      <c r="G73" s="14">
        <v>10</v>
      </c>
      <c r="H73" s="14">
        <v>3</v>
      </c>
      <c r="I73" s="14">
        <v>0</v>
      </c>
      <c r="J73" s="14">
        <v>1</v>
      </c>
      <c r="K73" s="14">
        <v>3</v>
      </c>
      <c r="L73" s="28">
        <v>119</v>
      </c>
      <c r="M73" s="28">
        <v>9</v>
      </c>
      <c r="N73" s="28">
        <v>8</v>
      </c>
      <c r="O73" s="28">
        <v>15</v>
      </c>
      <c r="P73" s="28">
        <v>15</v>
      </c>
      <c r="Q73" s="28">
        <v>1422</v>
      </c>
      <c r="R73" s="28">
        <v>155</v>
      </c>
      <c r="S73" s="28">
        <v>157</v>
      </c>
      <c r="T73" s="28">
        <v>174</v>
      </c>
      <c r="U73" s="28">
        <v>148</v>
      </c>
      <c r="V73" s="28">
        <v>84</v>
      </c>
      <c r="W73" s="28">
        <v>11</v>
      </c>
      <c r="X73" s="28">
        <v>11</v>
      </c>
      <c r="Y73" s="28">
        <v>12</v>
      </c>
      <c r="Z73" s="28">
        <v>20</v>
      </c>
      <c r="AA73" s="26">
        <v>10012</v>
      </c>
      <c r="AB73" s="26">
        <v>1159</v>
      </c>
      <c r="AC73" s="26">
        <v>1077</v>
      </c>
      <c r="AD73" s="26">
        <v>1094</v>
      </c>
      <c r="AE73" s="26">
        <v>1090</v>
      </c>
      <c r="AF73" s="33">
        <f t="shared" si="49"/>
        <v>1.7</v>
      </c>
      <c r="AG73" s="33">
        <f t="shared" si="50"/>
        <v>0.88235294117647056</v>
      </c>
      <c r="AH73" s="33">
        <f t="shared" si="51"/>
        <v>1.1160337552742614</v>
      </c>
      <c r="AI73" s="33">
        <f t="shared" si="52"/>
        <v>1.4404761904761907</v>
      </c>
      <c r="AJ73" s="33">
        <f t="shared" si="53"/>
        <v>1.1131642029564521</v>
      </c>
      <c r="AK73" s="33">
        <f t="shared" si="54"/>
        <v>1.2232247162356347</v>
      </c>
      <c r="AL73" s="40">
        <f t="shared" si="56"/>
        <v>1</v>
      </c>
      <c r="AM73" s="40">
        <f t="shared" si="57"/>
        <v>2.0408163265306083E-2</v>
      </c>
      <c r="AN73" s="35"/>
      <c r="AO73" s="34">
        <f t="shared" si="55"/>
        <v>76.5</v>
      </c>
      <c r="AP73" s="34">
        <f t="shared" si="40"/>
        <v>30.882352941176471</v>
      </c>
      <c r="AQ73" s="34">
        <f t="shared" si="41"/>
        <v>8.9282700421940913</v>
      </c>
      <c r="AR73" s="34">
        <f t="shared" si="42"/>
        <v>8.6428571428571441</v>
      </c>
      <c r="AS73" s="34">
        <f t="shared" si="43"/>
        <v>2.2263284059129043</v>
      </c>
      <c r="AT73" s="34">
        <f t="shared" si="44"/>
        <v>6.1161235811781731</v>
      </c>
      <c r="AU73" s="34">
        <f t="shared" si="45"/>
        <v>5</v>
      </c>
      <c r="AV73" s="34">
        <f t="shared" si="46"/>
        <v>0.20408163265306084</v>
      </c>
      <c r="AW73" s="92">
        <f t="shared" si="47"/>
        <v>118.70255815500769</v>
      </c>
      <c r="AX73" s="27"/>
      <c r="AY73" s="89">
        <v>2</v>
      </c>
      <c r="AZ73" s="86">
        <v>124.8692152517355</v>
      </c>
      <c r="BA73" s="36"/>
      <c r="BB73" s="36"/>
    </row>
    <row r="74" spans="1:54" s="28" customFormat="1">
      <c r="A74" s="50">
        <v>4</v>
      </c>
      <c r="B74" s="38" t="s">
        <v>94</v>
      </c>
      <c r="C74" s="39">
        <v>57</v>
      </c>
      <c r="D74" s="14">
        <v>495500</v>
      </c>
      <c r="E74" s="32">
        <f t="shared" si="48"/>
        <v>49550</v>
      </c>
      <c r="F74" s="28">
        <v>10</v>
      </c>
      <c r="G74" s="14">
        <v>10</v>
      </c>
      <c r="H74" s="14">
        <v>3</v>
      </c>
      <c r="I74" s="14">
        <v>1</v>
      </c>
      <c r="J74" s="14">
        <v>2</v>
      </c>
      <c r="K74" s="14">
        <v>1</v>
      </c>
      <c r="L74" s="28">
        <v>463</v>
      </c>
      <c r="M74" s="28">
        <v>71</v>
      </c>
      <c r="N74" s="28">
        <v>58</v>
      </c>
      <c r="O74" s="28">
        <v>56</v>
      </c>
      <c r="P74" s="28">
        <v>72</v>
      </c>
      <c r="Q74" s="28">
        <v>14</v>
      </c>
      <c r="R74" s="28">
        <v>3</v>
      </c>
      <c r="S74" s="28">
        <v>2</v>
      </c>
      <c r="T74" s="28">
        <v>3</v>
      </c>
      <c r="U74" s="28">
        <v>1</v>
      </c>
      <c r="V74" s="28">
        <v>23</v>
      </c>
      <c r="W74" s="28">
        <v>10</v>
      </c>
      <c r="X74" s="28">
        <v>4</v>
      </c>
      <c r="Y74" s="28">
        <v>3</v>
      </c>
      <c r="Z74" s="28">
        <v>1</v>
      </c>
      <c r="AA74" s="26">
        <v>336</v>
      </c>
      <c r="AB74" s="26">
        <v>60</v>
      </c>
      <c r="AC74" s="26">
        <v>47</v>
      </c>
      <c r="AD74" s="26">
        <v>41</v>
      </c>
      <c r="AE74" s="26">
        <v>25</v>
      </c>
      <c r="AF74" s="33">
        <f t="shared" si="49"/>
        <v>2</v>
      </c>
      <c r="AG74" s="33">
        <f t="shared" si="50"/>
        <v>1.386609071274298</v>
      </c>
      <c r="AH74" s="33">
        <f t="shared" si="51"/>
        <v>1.7857142857142856</v>
      </c>
      <c r="AI74" s="33">
        <f t="shared" si="52"/>
        <v>2.5652173913043477</v>
      </c>
      <c r="AJ74" s="33">
        <f t="shared" si="53"/>
        <v>1.4523809523809523</v>
      </c>
      <c r="AK74" s="33">
        <f t="shared" si="54"/>
        <v>1.9344375431331953</v>
      </c>
      <c r="AL74" s="40">
        <f t="shared" si="56"/>
        <v>0.78111452668085446</v>
      </c>
      <c r="AM74" s="40">
        <f t="shared" si="57"/>
        <v>2.9154518950436905E-3</v>
      </c>
      <c r="AN74" s="35"/>
      <c r="AO74" s="34">
        <f t="shared" si="55"/>
        <v>90</v>
      </c>
      <c r="AP74" s="34">
        <f t="shared" si="40"/>
        <v>48.53131749460043</v>
      </c>
      <c r="AQ74" s="34">
        <f t="shared" si="41"/>
        <v>14.285714285714285</v>
      </c>
      <c r="AR74" s="34">
        <f t="shared" si="42"/>
        <v>15.391304347826086</v>
      </c>
      <c r="AS74" s="34">
        <f t="shared" si="43"/>
        <v>2.9047619047619047</v>
      </c>
      <c r="AT74" s="34">
        <f t="shared" si="44"/>
        <v>9.6721877156659772</v>
      </c>
      <c r="AU74" s="34">
        <f t="shared" si="45"/>
        <v>3.9055726334042724</v>
      </c>
      <c r="AV74" s="34">
        <f t="shared" si="46"/>
        <v>2.9154518950436907E-2</v>
      </c>
      <c r="AW74" s="92">
        <f t="shared" si="47"/>
        <v>152.13823236262112</v>
      </c>
      <c r="AX74" s="27"/>
      <c r="AY74" s="89">
        <v>3</v>
      </c>
      <c r="AZ74" s="86">
        <v>118.70255815500769</v>
      </c>
      <c r="BA74" s="36"/>
      <c r="BB74" s="36"/>
    </row>
    <row r="75" spans="1:54" s="28" customFormat="1" ht="18.95" customHeight="1">
      <c r="A75" s="49">
        <v>5</v>
      </c>
      <c r="B75" s="42" t="s">
        <v>95</v>
      </c>
      <c r="C75" s="39">
        <v>57</v>
      </c>
      <c r="D75" s="14">
        <v>92400</v>
      </c>
      <c r="E75" s="32">
        <f t="shared" si="48"/>
        <v>9240</v>
      </c>
      <c r="F75" s="28">
        <v>10</v>
      </c>
      <c r="G75" s="14">
        <v>10</v>
      </c>
      <c r="H75" s="14">
        <v>0</v>
      </c>
      <c r="I75" s="14">
        <v>1</v>
      </c>
      <c r="J75" s="14">
        <v>0</v>
      </c>
      <c r="K75" s="14">
        <v>0</v>
      </c>
      <c r="L75" s="28">
        <v>369</v>
      </c>
      <c r="M75" s="28">
        <v>52</v>
      </c>
      <c r="N75" s="28">
        <v>69</v>
      </c>
      <c r="O75" s="28">
        <v>49</v>
      </c>
      <c r="P75" s="28">
        <v>41</v>
      </c>
      <c r="Q75" s="28">
        <v>14464</v>
      </c>
      <c r="R75" s="28">
        <v>1831</v>
      </c>
      <c r="S75" s="28">
        <v>1738</v>
      </c>
      <c r="T75" s="28">
        <v>1769</v>
      </c>
      <c r="U75" s="28">
        <v>1702</v>
      </c>
      <c r="V75" s="28">
        <v>64</v>
      </c>
      <c r="W75" s="28">
        <v>5</v>
      </c>
      <c r="X75" s="28">
        <v>6</v>
      </c>
      <c r="Y75" s="28">
        <v>5</v>
      </c>
      <c r="Z75" s="28">
        <v>6</v>
      </c>
      <c r="AA75" s="26">
        <v>3816</v>
      </c>
      <c r="AB75" s="26">
        <v>374</v>
      </c>
      <c r="AC75" s="26">
        <v>368</v>
      </c>
      <c r="AD75" s="26">
        <v>372</v>
      </c>
      <c r="AE75" s="26">
        <v>365</v>
      </c>
      <c r="AF75" s="33">
        <f t="shared" si="49"/>
        <v>0.30000000000000004</v>
      </c>
      <c r="AG75" s="33">
        <f t="shared" si="50"/>
        <v>1.5013550135501355</v>
      </c>
      <c r="AH75" s="33">
        <f t="shared" si="51"/>
        <v>1.2291205752212391</v>
      </c>
      <c r="AI75" s="33">
        <f t="shared" si="52"/>
        <v>0.84375</v>
      </c>
      <c r="AJ75" s="33">
        <f t="shared" si="53"/>
        <v>0.97196016771488469</v>
      </c>
      <c r="AK75" s="33">
        <f t="shared" si="54"/>
        <v>1.014943580978708</v>
      </c>
      <c r="AL75" s="40">
        <f t="shared" si="56"/>
        <v>0.14566091274532986</v>
      </c>
      <c r="AM75" s="40">
        <f t="shared" si="57"/>
        <v>2.9154518950436905E-3</v>
      </c>
      <c r="AN75" s="35"/>
      <c r="AO75" s="34">
        <f t="shared" si="55"/>
        <v>13.500000000000002</v>
      </c>
      <c r="AP75" s="34">
        <f t="shared" si="40"/>
        <v>52.547425474254737</v>
      </c>
      <c r="AQ75" s="34">
        <f t="shared" si="41"/>
        <v>9.8329646017699126</v>
      </c>
      <c r="AR75" s="34">
        <f t="shared" si="42"/>
        <v>5.0625</v>
      </c>
      <c r="AS75" s="34">
        <f t="shared" si="43"/>
        <v>1.9439203354297694</v>
      </c>
      <c r="AT75" s="34">
        <f t="shared" si="44"/>
        <v>5.0747179048935394</v>
      </c>
      <c r="AU75" s="34">
        <f t="shared" si="45"/>
        <v>0.72830456372664931</v>
      </c>
      <c r="AV75" s="34">
        <f t="shared" si="46"/>
        <v>2.9154518950436907E-2</v>
      </c>
      <c r="AW75" s="92">
        <f t="shared" si="47"/>
        <v>71.879602461825357</v>
      </c>
      <c r="AX75" s="27"/>
      <c r="AY75" s="89">
        <v>5</v>
      </c>
      <c r="AZ75" s="86">
        <v>71.879602461825357</v>
      </c>
      <c r="BA75" s="36"/>
      <c r="BB75" s="36"/>
    </row>
    <row r="76" spans="1:54" s="28" customFormat="1">
      <c r="A76" s="51">
        <v>6</v>
      </c>
      <c r="B76" s="44" t="s">
        <v>96</v>
      </c>
      <c r="C76" s="39">
        <v>53</v>
      </c>
      <c r="D76" s="14">
        <v>479325</v>
      </c>
      <c r="E76" s="32">
        <f t="shared" si="48"/>
        <v>47932.5</v>
      </c>
      <c r="F76" s="28">
        <v>10</v>
      </c>
      <c r="G76" s="14">
        <v>10</v>
      </c>
      <c r="H76" s="14">
        <v>2</v>
      </c>
      <c r="I76" s="14">
        <v>0</v>
      </c>
      <c r="J76" s="14">
        <v>0</v>
      </c>
      <c r="K76" s="14">
        <v>3</v>
      </c>
      <c r="L76" s="28">
        <v>359</v>
      </c>
      <c r="M76" s="28">
        <v>90</v>
      </c>
      <c r="N76" s="28">
        <v>77</v>
      </c>
      <c r="O76" s="28">
        <v>62</v>
      </c>
      <c r="P76" s="28">
        <v>43</v>
      </c>
      <c r="Q76" s="28">
        <v>4575</v>
      </c>
      <c r="R76" s="28">
        <v>446</v>
      </c>
      <c r="S76" s="28">
        <v>481</v>
      </c>
      <c r="T76" s="28">
        <v>455</v>
      </c>
      <c r="U76" s="28">
        <v>514</v>
      </c>
      <c r="V76" s="28">
        <v>89</v>
      </c>
      <c r="W76" s="28">
        <v>13</v>
      </c>
      <c r="X76" s="28">
        <v>9</v>
      </c>
      <c r="Y76" s="28">
        <v>11</v>
      </c>
      <c r="Z76" s="28">
        <v>10</v>
      </c>
      <c r="AA76" s="26">
        <v>469</v>
      </c>
      <c r="AB76" s="26">
        <v>65</v>
      </c>
      <c r="AC76" s="26">
        <v>64</v>
      </c>
      <c r="AD76" s="26">
        <v>50</v>
      </c>
      <c r="AE76" s="26">
        <v>49</v>
      </c>
      <c r="AF76" s="33">
        <f t="shared" si="49"/>
        <v>1.1000000000000001</v>
      </c>
      <c r="AG76" s="33">
        <f t="shared" si="50"/>
        <v>2.1114206128133706</v>
      </c>
      <c r="AH76" s="33">
        <f t="shared" si="51"/>
        <v>1.0166120218579235</v>
      </c>
      <c r="AI76" s="33">
        <f t="shared" si="52"/>
        <v>1.247191011235955</v>
      </c>
      <c r="AJ76" s="33">
        <f t="shared" si="53"/>
        <v>1.2814498933901919</v>
      </c>
      <c r="AK76" s="33">
        <f t="shared" si="54"/>
        <v>1.1817509754946902</v>
      </c>
      <c r="AL76" s="40">
        <f t="shared" si="56"/>
        <v>0.75561598486639869</v>
      </c>
      <c r="AM76" s="40">
        <f t="shared" si="57"/>
        <v>7.2886297376093256E-2</v>
      </c>
      <c r="AN76" s="35"/>
      <c r="AO76" s="34">
        <f t="shared" si="55"/>
        <v>49.500000000000007</v>
      </c>
      <c r="AP76" s="34">
        <f t="shared" si="40"/>
        <v>73.899721448467972</v>
      </c>
      <c r="AQ76" s="34">
        <f t="shared" si="41"/>
        <v>8.1328961748633883</v>
      </c>
      <c r="AR76" s="34">
        <f t="shared" si="42"/>
        <v>7.4831460674157295</v>
      </c>
      <c r="AS76" s="34">
        <f t="shared" si="43"/>
        <v>2.5628997867803838</v>
      </c>
      <c r="AT76" s="34">
        <f t="shared" si="44"/>
        <v>5.9087548774734513</v>
      </c>
      <c r="AU76" s="34">
        <f t="shared" si="45"/>
        <v>3.7780799243319936</v>
      </c>
      <c r="AV76" s="34">
        <f t="shared" si="46"/>
        <v>0.72886297376093256</v>
      </c>
      <c r="AW76" s="92">
        <f t="shared" si="47"/>
        <v>133.81541922403434</v>
      </c>
      <c r="AX76" s="27"/>
      <c r="AY76" s="89">
        <v>1</v>
      </c>
      <c r="AZ76" s="86">
        <v>69.573005462986202</v>
      </c>
      <c r="BA76" s="36"/>
      <c r="BB76" s="36"/>
    </row>
    <row r="77" spans="1:54" s="28" customFormat="1">
      <c r="A77" s="45"/>
      <c r="B77" s="46"/>
      <c r="C77" s="39"/>
      <c r="D77" s="14"/>
      <c r="E77" s="32"/>
      <c r="AF77" s="33" t="e">
        <f t="shared" si="49"/>
        <v>#DIV/0!</v>
      </c>
      <c r="AG77" s="33" t="e">
        <f t="shared" si="50"/>
        <v>#DIV/0!</v>
      </c>
      <c r="AH77" s="33" t="e">
        <f t="shared" si="51"/>
        <v>#DIV/0!</v>
      </c>
      <c r="AI77" s="33" t="e">
        <f t="shared" si="52"/>
        <v>#DIV/0!</v>
      </c>
      <c r="AJ77" s="33" t="e">
        <f t="shared" si="53"/>
        <v>#DIV/0!</v>
      </c>
      <c r="AK77" s="33"/>
      <c r="AL77" s="34"/>
      <c r="AM77" s="34"/>
      <c r="AN77" s="35"/>
      <c r="AO77" s="34" t="e">
        <f t="shared" si="55"/>
        <v>#DIV/0!</v>
      </c>
      <c r="AP77" s="34" t="e">
        <f t="shared" si="40"/>
        <v>#DIV/0!</v>
      </c>
      <c r="AQ77" s="34" t="e">
        <f t="shared" si="41"/>
        <v>#DIV/0!</v>
      </c>
      <c r="AR77" s="34" t="e">
        <f t="shared" si="42"/>
        <v>#DIV/0!</v>
      </c>
      <c r="AS77" s="34" t="e">
        <f t="shared" si="43"/>
        <v>#DIV/0!</v>
      </c>
      <c r="AT77" s="34">
        <f t="shared" si="44"/>
        <v>0</v>
      </c>
      <c r="AU77" s="34">
        <f t="shared" si="45"/>
        <v>0</v>
      </c>
      <c r="AV77" s="34">
        <f t="shared" si="46"/>
        <v>0</v>
      </c>
      <c r="AW77" s="92" t="e">
        <f t="shared" si="47"/>
        <v>#DIV/0!</v>
      </c>
      <c r="AX77" s="27"/>
      <c r="BA77" s="33"/>
      <c r="BB77" s="33"/>
    </row>
  </sheetData>
  <mergeCells count="8">
    <mergeCell ref="AY1:AZ5"/>
    <mergeCell ref="AO2:AV2"/>
    <mergeCell ref="G2:K2"/>
    <mergeCell ref="AA3:AE3"/>
    <mergeCell ref="V3:Z3"/>
    <mergeCell ref="Q3:U3"/>
    <mergeCell ref="L3:P3"/>
    <mergeCell ref="G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4A6B-19D6-194C-B9AA-EA25CBCEA2AD}">
  <sheetPr>
    <tabColor theme="4" tint="0.79998168889431442"/>
  </sheetPr>
  <dimension ref="A1:L75"/>
  <sheetViews>
    <sheetView showZeros="0" tabSelected="1" zoomScaleNormal="100" workbookViewId="0">
      <pane ySplit="2" topLeftCell="A3" activePane="bottomLeft" state="frozen"/>
      <selection pane="bottomLeft" activeCell="M8" sqref="M8"/>
    </sheetView>
  </sheetViews>
  <sheetFormatPr defaultColWidth="11" defaultRowHeight="18.95"/>
  <cols>
    <col min="1" max="1" width="7.625" style="129" customWidth="1"/>
    <col min="2" max="2" width="10" style="71" customWidth="1"/>
    <col min="3" max="3" width="35.125" bestFit="1" customWidth="1"/>
    <col min="4" max="4" width="6.375" style="65" bestFit="1" customWidth="1"/>
    <col min="5" max="5" width="8.5" style="65" bestFit="1" customWidth="1"/>
    <col min="6" max="6" width="6.375" style="64" customWidth="1"/>
    <col min="7" max="7" width="8.5" style="83" customWidth="1"/>
    <col min="8" max="8" width="1.125" style="82" customWidth="1"/>
    <col min="9" max="10" width="9.125" style="82" customWidth="1"/>
    <col min="11" max="11" width="9.375" style="82" customWidth="1"/>
    <col min="12" max="12" width="8.375" style="82" customWidth="1"/>
  </cols>
  <sheetData>
    <row r="1" spans="1:11">
      <c r="D1" s="82"/>
      <c r="E1" s="82"/>
      <c r="F1" s="63"/>
      <c r="G1" s="63"/>
      <c r="I1" s="114"/>
    </row>
    <row r="2" spans="1:11">
      <c r="G2" s="64"/>
      <c r="I2" s="110" t="s">
        <v>97</v>
      </c>
      <c r="J2" s="110" t="s">
        <v>98</v>
      </c>
      <c r="K2" s="111" t="s">
        <v>99</v>
      </c>
    </row>
    <row r="3" spans="1:11">
      <c r="A3" s="130"/>
      <c r="B3" s="80"/>
      <c r="C3" s="84" t="s">
        <v>34</v>
      </c>
      <c r="D3" s="81" t="s">
        <v>100</v>
      </c>
      <c r="E3" s="81" t="s">
        <v>101</v>
      </c>
      <c r="F3" s="85"/>
      <c r="G3" s="87">
        <v>1</v>
      </c>
      <c r="I3" s="110" t="s">
        <v>102</v>
      </c>
      <c r="J3" s="110" t="s">
        <v>103</v>
      </c>
      <c r="K3" s="111" t="s">
        <v>104</v>
      </c>
    </row>
    <row r="4" spans="1:11">
      <c r="A4" s="131"/>
      <c r="B4" s="72">
        <v>1</v>
      </c>
      <c r="C4" s="38" t="s">
        <v>35</v>
      </c>
      <c r="D4" s="70">
        <f>ANALİZ!AY6</f>
        <v>4</v>
      </c>
      <c r="E4" s="70">
        <f>ANALİZ!AZ6</f>
        <v>169.31355508086662</v>
      </c>
      <c r="F4" s="115"/>
      <c r="G4" s="101" t="str">
        <f>IF(ROWS($G$4:G4)&gt;5,"X",IF(ROW()=6,"KÜÇÜK",IF($E$4-E4&lt;=20,"KÜÇÜK",IF($E$4-E4&lt;=50,"ORTA",IF($E$4-E4&lt;=57,"BÜYÜK","X")))))</f>
        <v>KÜÇÜK</v>
      </c>
      <c r="I4" s="113">
        <f>IF($G4="Küçük",$D4,"")</f>
        <v>4</v>
      </c>
      <c r="J4" s="105" t="str">
        <f>IF($G4="Orta",$D4,"")</f>
        <v/>
      </c>
      <c r="K4" s="106" t="str">
        <f>IF($G4="Büyük",$D4,"")</f>
        <v/>
      </c>
    </row>
    <row r="5" spans="1:11">
      <c r="A5" s="131"/>
      <c r="B5" s="73">
        <v>2</v>
      </c>
      <c r="C5" s="42" t="s">
        <v>36</v>
      </c>
      <c r="D5" s="65">
        <f>ANALİZ!AY7</f>
        <v>3</v>
      </c>
      <c r="E5" s="65">
        <f>ANALİZ!AZ7</f>
        <v>159.52978056426332</v>
      </c>
      <c r="F5" s="64">
        <f>$E$4-E5</f>
        <v>9.7837745166033017</v>
      </c>
      <c r="G5" s="101" t="str">
        <f>IF(ROWS($G$4:G5)&gt;5,"X",IF(ROW()=6,"KÜÇÜK",IF($E$4-E5&lt;=20,"KÜÇÜK",IF($E$4-E5&lt;=50,"ORTA",IF($E$4-E5&lt;=57,"BÜYÜK","X")))))</f>
        <v>KÜÇÜK</v>
      </c>
      <c r="I5" s="104">
        <f>IF($G5="Küçük",$D5,"")</f>
        <v>3</v>
      </c>
      <c r="J5" s="105" t="str">
        <f>IF($G5="Orta",$D5,"")</f>
        <v/>
      </c>
      <c r="K5" s="106" t="str">
        <f>IF($G5="Büyük",$D5,"")</f>
        <v/>
      </c>
    </row>
    <row r="6" spans="1:11">
      <c r="A6" s="131"/>
      <c r="B6" s="72">
        <v>3</v>
      </c>
      <c r="C6" s="38" t="s">
        <v>37</v>
      </c>
      <c r="D6" s="65">
        <f>ANALİZ!AY8</f>
        <v>8</v>
      </c>
      <c r="E6" s="65">
        <f>ANALİZ!AZ8</f>
        <v>119.57459360500883</v>
      </c>
      <c r="F6" s="64">
        <f>$E$4-E6</f>
        <v>49.738961475857792</v>
      </c>
      <c r="G6" s="101" t="str">
        <f>IF(ROWS($G$4:G6)&gt;5,"X",IF(ROW()=6,"KÜÇÜK",IF($E$4-E6&lt;=20,"KÜÇÜK",IF($E$4-E6&lt;=50,"ORTA",IF($E$4-E6&lt;=57,"BÜYÜK","X")))))</f>
        <v>KÜÇÜK</v>
      </c>
      <c r="I6" s="104">
        <f>IF($G6="Küçük",$D6,"")</f>
        <v>8</v>
      </c>
      <c r="J6" s="105" t="str">
        <f>IF($G6="Orta",$D6,"")</f>
        <v/>
      </c>
      <c r="K6" s="106" t="str">
        <f>IF($G6="Büyük",$D6,"")</f>
        <v/>
      </c>
    </row>
    <row r="7" spans="1:11">
      <c r="A7" s="131"/>
      <c r="B7" s="73">
        <v>4</v>
      </c>
      <c r="C7" s="42" t="s">
        <v>38</v>
      </c>
      <c r="D7" s="65">
        <f>ANALİZ!AY9</f>
        <v>10</v>
      </c>
      <c r="E7" s="65">
        <f>ANALİZ!AZ9</f>
        <v>113.20018866475085</v>
      </c>
      <c r="F7" s="64">
        <f t="shared" ref="F7:F13" si="0">$E$4-E7</f>
        <v>56.113366416115767</v>
      </c>
      <c r="G7" s="101" t="str">
        <f>IF(ROWS($G$4:G7)&gt;5,"X",IF(ROW()=6,"KÜÇÜK",IF($E$4-E7&lt;=20,"KÜÇÜK",IF($E$4-E7&lt;=50,"ORTA",IF($E$4-E7&lt;=57,"BÜYÜK","X")))))</f>
        <v>BÜYÜK</v>
      </c>
      <c r="I7" s="104" t="str">
        <f>IF($G7="Küçük",$D7,"")</f>
        <v/>
      </c>
      <c r="J7" s="105" t="str">
        <f>IF($G7="Orta",$D7,"")</f>
        <v/>
      </c>
      <c r="K7" s="106">
        <f>IF($G7="Büyük",$D7,"")</f>
        <v>10</v>
      </c>
    </row>
    <row r="8" spans="1:11">
      <c r="B8" s="72">
        <v>5</v>
      </c>
      <c r="C8" s="38" t="s">
        <v>39</v>
      </c>
      <c r="D8" s="65">
        <f>ANALİZ!AY10</f>
        <v>5</v>
      </c>
      <c r="E8" s="65">
        <f>ANALİZ!AZ10</f>
        <v>82.868189526269802</v>
      </c>
      <c r="F8" s="64">
        <f t="shared" si="0"/>
        <v>86.445365554596819</v>
      </c>
      <c r="G8" s="101" t="str">
        <f>IF(ROWS($G$4:G8)&gt;5,"X",IF(ROW()=6,"KÜÇÜK",IF($E$4-E8&lt;=20,"KÜÇÜK",IF($E$4-E8&lt;=50,"ORTA",IF($E$4-E8&lt;=57,"BÜYÜK","X")))))</f>
        <v>X</v>
      </c>
      <c r="I8" s="107" t="str">
        <f>IF($G8="Küçük",$D8,"")</f>
        <v/>
      </c>
      <c r="J8" s="108" t="str">
        <f>IF($G8="Orta",$D8,"")</f>
        <v/>
      </c>
      <c r="K8" s="109" t="str">
        <f>IF($G8="Büyük",$D8,"")</f>
        <v/>
      </c>
    </row>
    <row r="9" spans="1:11">
      <c r="B9" s="100">
        <v>6</v>
      </c>
      <c r="C9" s="98" t="s">
        <v>40</v>
      </c>
      <c r="D9" s="99">
        <f>ANALİZ!AY11</f>
        <v>7</v>
      </c>
      <c r="E9" s="99">
        <f>ANALİZ!AZ11</f>
        <v>81.139710659139269</v>
      </c>
      <c r="F9" s="64">
        <f t="shared" si="0"/>
        <v>88.173844421727352</v>
      </c>
      <c r="G9" s="102" t="str">
        <f>IF(ROWS($G$4:G9)&gt;5,"X",IF(ROW()=6,"KÜÇÜK",IF($E$4-E9&lt;=20,"KÜÇÜK",IF($E$4-E9&lt;=50,"ORTA",IF($E$4-E9&lt;=57,"BÜYÜK","X")))))</f>
        <v>X</v>
      </c>
    </row>
    <row r="10" spans="1:11">
      <c r="B10" s="72">
        <v>7</v>
      </c>
      <c r="C10" s="38" t="s">
        <v>41</v>
      </c>
      <c r="D10" s="65">
        <f>ANALİZ!AY12</f>
        <v>9</v>
      </c>
      <c r="E10" s="65">
        <f>ANALİZ!AZ12</f>
        <v>75.040450133009884</v>
      </c>
      <c r="F10" s="64">
        <f t="shared" si="0"/>
        <v>94.273104947856737</v>
      </c>
      <c r="G10" s="101" t="str">
        <f>IF(ROWS($G$4:G10)&gt;5,"X",IF(ROW()=6,"KÜÇÜK",IF($E$4-E10&lt;=20,"KÜÇÜK",IF($E$4-E10&lt;=50,"ORTA",IF($E$4-E10&lt;=57,"BÜYÜK","X")))))</f>
        <v>X</v>
      </c>
    </row>
    <row r="11" spans="1:11">
      <c r="B11" s="73">
        <v>8</v>
      </c>
      <c r="C11" s="42" t="s">
        <v>42</v>
      </c>
      <c r="D11" s="65">
        <f>ANALİZ!AY13</f>
        <v>2</v>
      </c>
      <c r="E11" s="65">
        <f>ANALİZ!AZ13</f>
        <v>74.710487234258963</v>
      </c>
      <c r="F11" s="64">
        <f t="shared" si="0"/>
        <v>94.603067846607658</v>
      </c>
      <c r="G11" s="101" t="str">
        <f>IF(ROWS($G$4:G11)&gt;5,"X",IF(ROW()=6,"KÜÇÜK",IF($E$4-E11&lt;=20,"KÜÇÜK",IF($E$4-E11&lt;=50,"ORTA",IF($E$4-E11&lt;=57,"BÜYÜK","X")))))</f>
        <v>X</v>
      </c>
    </row>
    <row r="12" spans="1:11">
      <c r="B12" s="74">
        <v>9</v>
      </c>
      <c r="C12" s="44" t="s">
        <v>43</v>
      </c>
      <c r="D12" s="65">
        <f>ANALİZ!AY14</f>
        <v>1</v>
      </c>
      <c r="E12" s="65">
        <f>ANALİZ!AZ14</f>
        <v>73.069595600014338</v>
      </c>
      <c r="F12" s="64">
        <f t="shared" si="0"/>
        <v>96.243959480852283</v>
      </c>
      <c r="G12" s="101" t="str">
        <f>IF(ROWS($G$4:G12)&gt;5,"X",IF(ROW()=6,"KÜÇÜK",IF($E$4-E12&lt;=20,"KÜÇÜK",IF($E$4-E12&lt;=50,"ORTA",IF($E$4-E12&lt;=57,"BÜYÜK","X")))))</f>
        <v>X</v>
      </c>
    </row>
    <row r="13" spans="1:11">
      <c r="B13" s="73">
        <v>10</v>
      </c>
      <c r="C13" s="42" t="s">
        <v>44</v>
      </c>
      <c r="D13" s="65">
        <f>ANALİZ!AY15</f>
        <v>6</v>
      </c>
      <c r="E13" s="65">
        <f>ANALİZ!AZ15</f>
        <v>57.556058419083875</v>
      </c>
      <c r="F13" s="64">
        <f t="shared" si="0"/>
        <v>111.75749666178274</v>
      </c>
      <c r="G13" s="101" t="str">
        <f>IF(ROWS($G$4:G13)&gt;5,"X",IF(ROW()=6,"KÜÇÜK",IF($E$4-E13&lt;=20,"KÜÇÜK",IF($E$4-E13&lt;=50,"ORTA",IF($E$4-E13&lt;=57,"BÜYÜK","X")))))</f>
        <v>X</v>
      </c>
    </row>
    <row r="14" spans="1:11">
      <c r="B14" s="75"/>
      <c r="C14" s="61"/>
      <c r="D14" s="67"/>
      <c r="E14" s="67"/>
      <c r="F14" s="116"/>
      <c r="I14" s="110" t="s">
        <v>97</v>
      </c>
      <c r="J14" s="110" t="s">
        <v>98</v>
      </c>
      <c r="K14" s="111" t="s">
        <v>99</v>
      </c>
    </row>
    <row r="15" spans="1:11" ht="20.100000000000001" thickBot="1">
      <c r="A15" s="132"/>
      <c r="B15" s="80"/>
      <c r="C15" s="84" t="s">
        <v>45</v>
      </c>
      <c r="D15" s="81"/>
      <c r="E15" s="81"/>
      <c r="F15" s="85"/>
      <c r="G15" s="87">
        <v>2</v>
      </c>
      <c r="I15" s="110" t="s">
        <v>102</v>
      </c>
      <c r="J15" s="110" t="s">
        <v>103</v>
      </c>
      <c r="K15" s="111" t="s">
        <v>104</v>
      </c>
    </row>
    <row r="16" spans="1:11">
      <c r="A16" s="130"/>
      <c r="B16" s="76">
        <v>1</v>
      </c>
      <c r="C16" s="48" t="s">
        <v>46</v>
      </c>
      <c r="D16" s="65">
        <f>ANALİZ!AY18</f>
        <v>3</v>
      </c>
      <c r="E16" s="65">
        <f>ANALİZ!AZ18</f>
        <v>171.67878475390629</v>
      </c>
      <c r="G16" s="101" t="str">
        <f>IF(ROWS($G$16:G16)&gt;5,"X",IF(ROW()=6,"KÜÇÜK",IF($E$16-E16&lt;=20,"KÜÇÜK",IF($E$16-E16&lt;=50,"ORTA",IF($E$16-E16&lt;=57,"BÜYÜK","X")))))</f>
        <v>KÜÇÜK</v>
      </c>
      <c r="I16" s="104">
        <f>IF($G16="Küçük",$D16,"")</f>
        <v>3</v>
      </c>
      <c r="J16" s="105" t="str">
        <f>IF($G16="Orta",$D16,"")</f>
        <v/>
      </c>
      <c r="K16" s="106" t="str">
        <f>IF($G16="Büyük",$D16,"")</f>
        <v/>
      </c>
    </row>
    <row r="17" spans="1:11">
      <c r="A17" s="131"/>
      <c r="B17" s="77">
        <v>2</v>
      </c>
      <c r="C17" s="42" t="s">
        <v>47</v>
      </c>
      <c r="D17" s="70">
        <f>ANALİZ!AY19</f>
        <v>8</v>
      </c>
      <c r="E17" s="70">
        <f>ANALİZ!AZ19</f>
        <v>166.35457765608018</v>
      </c>
      <c r="F17" s="115">
        <f>$E$16-E17</f>
        <v>5.324207097826104</v>
      </c>
      <c r="G17" s="103" t="str">
        <f>IF(ROWS($G$16:G17)&gt;5,"X",IF(ROW()=6,"KÜÇÜK",IF($E$16-E17&lt;=20,"KÜÇÜK",IF($E$16-E17&lt;=50,"ORTA",IF($E$16-E17&lt;=57,"BÜYÜK","X")))))</f>
        <v>KÜÇÜK</v>
      </c>
      <c r="I17" s="112">
        <f>IF($G17="Küçük",$D17,"")</f>
        <v>8</v>
      </c>
      <c r="J17" s="105" t="str">
        <f>IF($G17="Orta",$D17,"")</f>
        <v/>
      </c>
      <c r="K17" s="106" t="str">
        <f>IF($G17="Büyük",$D17,"")</f>
        <v/>
      </c>
    </row>
    <row r="18" spans="1:11">
      <c r="A18" s="131"/>
      <c r="B18" s="78">
        <v>3</v>
      </c>
      <c r="C18" s="38" t="s">
        <v>48</v>
      </c>
      <c r="D18" s="65">
        <f>ANALİZ!AY20</f>
        <v>2</v>
      </c>
      <c r="E18" s="65">
        <f>ANALİZ!AZ20</f>
        <v>137.73123139373146</v>
      </c>
      <c r="F18" s="115">
        <f t="shared" ref="F18:F25" si="1">$E$16-E18</f>
        <v>33.947553360174823</v>
      </c>
      <c r="G18" s="101" t="str">
        <f>IF(ROWS($G$16:G18)&gt;5,"X",IF(ROW()=6,"KÜÇÜK",IF($E$16-E18&lt;=20,"KÜÇÜK",IF($E$16-E18&lt;=50,"ORTA",IF($E$16-E18&lt;=57,"BÜYÜK","X")))))</f>
        <v>ORTA</v>
      </c>
      <c r="I18" s="104" t="str">
        <f>IF($G18="Küçük",$D18,"")</f>
        <v/>
      </c>
      <c r="J18" s="105">
        <f>IF($G18="Orta",$D18,"")</f>
        <v>2</v>
      </c>
      <c r="K18" s="106" t="str">
        <f>IF($G18="Büyük",$D18,"")</f>
        <v/>
      </c>
    </row>
    <row r="19" spans="1:11">
      <c r="A19" s="131"/>
      <c r="B19" s="77">
        <v>4</v>
      </c>
      <c r="C19" s="42" t="s">
        <v>49</v>
      </c>
      <c r="D19" s="65">
        <f>ANALİZ!AY21</f>
        <v>5</v>
      </c>
      <c r="E19" s="65">
        <f>ANALİZ!AZ21</f>
        <v>133.94872652610718</v>
      </c>
      <c r="F19" s="115">
        <f t="shared" si="1"/>
        <v>37.730058227799105</v>
      </c>
      <c r="G19" s="101" t="str">
        <f>IF(ROWS($G$16:G19)&gt;5,"X",IF(ROW()=6,"KÜÇÜK",IF($E$16-E19&lt;=20,"KÜÇÜK",IF($E$16-E19&lt;=50,"ORTA",IF($E$16-E19&lt;=57,"BÜYÜK","X")))))</f>
        <v>ORTA</v>
      </c>
      <c r="I19" s="104" t="str">
        <f>IF($G19="Küçük",$D19,"")</f>
        <v/>
      </c>
      <c r="J19" s="105">
        <f>IF($G19="Orta",$D19,"")</f>
        <v>5</v>
      </c>
      <c r="K19" s="106" t="str">
        <f>IF($G19="Büyük",$D19,"")</f>
        <v/>
      </c>
    </row>
    <row r="20" spans="1:11">
      <c r="A20" s="131"/>
      <c r="B20" s="78">
        <v>5</v>
      </c>
      <c r="C20" s="38" t="s">
        <v>50</v>
      </c>
      <c r="D20" s="65">
        <f>ANALİZ!AY22</f>
        <v>9</v>
      </c>
      <c r="E20" s="65">
        <f>ANALİZ!AZ22</f>
        <v>131.4517016388684</v>
      </c>
      <c r="F20" s="115">
        <f t="shared" si="1"/>
        <v>40.227083115037885</v>
      </c>
      <c r="G20" s="101" t="str">
        <f>IF(ROWS($G$16:G20)&gt;5,"X",IF(ROW()=6,"KÜÇÜK",IF($E$16-E20&lt;=20,"KÜÇÜK",IF($E$16-E20&lt;=50,"ORTA",IF($E$16-E20&lt;=57,"BÜYÜK","X")))))</f>
        <v>ORTA</v>
      </c>
      <c r="I20" s="107" t="str">
        <f>IF($G20="Küçük",$D20,"")</f>
        <v/>
      </c>
      <c r="J20" s="108">
        <f>IF($G20="Orta",$D20,"")</f>
        <v>9</v>
      </c>
      <c r="K20" s="109" t="str">
        <f>IF($G20="Büyük",$D20,"")</f>
        <v/>
      </c>
    </row>
    <row r="21" spans="1:11">
      <c r="B21" s="97">
        <v>6</v>
      </c>
      <c r="C21" s="98" t="s">
        <v>51</v>
      </c>
      <c r="D21" s="99">
        <f>ANALİZ!AY23</f>
        <v>4</v>
      </c>
      <c r="E21" s="99">
        <f>ANALİZ!AZ23</f>
        <v>126.18027054738803</v>
      </c>
      <c r="F21" s="115">
        <f t="shared" si="1"/>
        <v>45.498514206518252</v>
      </c>
      <c r="G21" s="101" t="str">
        <f>IF(ROWS($G$16:G21)&gt;5,"X",IF(ROW()=6,"KÜÇÜK",IF($E$16-E21&lt;=20,"KÜÇÜK",IF($E$16-E21&lt;=50,"ORTA",IF($E$16-E21&lt;=57,"BÜYÜK","X")))))</f>
        <v>X</v>
      </c>
    </row>
    <row r="22" spans="1:11">
      <c r="B22" s="78">
        <v>7</v>
      </c>
      <c r="C22" s="38" t="s">
        <v>52</v>
      </c>
      <c r="D22" s="65">
        <f>ANALİZ!AY24</f>
        <v>1</v>
      </c>
      <c r="E22" s="65">
        <f>ANALİZ!AZ24</f>
        <v>126.17425059848196</v>
      </c>
      <c r="F22" s="115">
        <f t="shared" si="1"/>
        <v>45.504534155424324</v>
      </c>
      <c r="G22" s="101" t="str">
        <f>IF(ROWS($G$16:G22)&gt;5,"X",IF(ROW()=6,"KÜÇÜK",IF($E$16-E22&lt;=20,"KÜÇÜK",IF($E$16-E22&lt;=50,"ORTA",IF($E$16-E22&lt;=57,"BÜYÜK","X")))))</f>
        <v>X</v>
      </c>
    </row>
    <row r="23" spans="1:11">
      <c r="B23" s="77">
        <v>8</v>
      </c>
      <c r="C23" s="42" t="s">
        <v>53</v>
      </c>
      <c r="D23" s="65">
        <f>ANALİZ!AY25</f>
        <v>6</v>
      </c>
      <c r="E23" s="65">
        <f>ANALİZ!AZ25</f>
        <v>117.68512129992706</v>
      </c>
      <c r="F23" s="115">
        <f t="shared" si="1"/>
        <v>53.993663453979224</v>
      </c>
      <c r="G23" s="101" t="str">
        <f>IF(ROWS($G$16:G23)&gt;5,"X",IF(ROW()=6,"KÜÇÜK",IF($E$16-E23&lt;=20,"KÜÇÜK",IF($E$16-E23&lt;=50,"ORTA",IF($E$16-E23&lt;=57,"BÜYÜK","X")))))</f>
        <v>X</v>
      </c>
    </row>
    <row r="24" spans="1:11">
      <c r="B24" s="78">
        <v>9</v>
      </c>
      <c r="C24" s="38" t="s">
        <v>54</v>
      </c>
      <c r="D24" s="65">
        <f>ANALİZ!AY26</f>
        <v>10</v>
      </c>
      <c r="E24" s="65">
        <f>ANALİZ!AZ26</f>
        <v>106.90863954285096</v>
      </c>
      <c r="F24" s="115">
        <f t="shared" si="1"/>
        <v>64.770145211055322</v>
      </c>
      <c r="G24" s="101" t="str">
        <f>IF(ROWS($G$16:G24)&gt;5,"X",IF(ROW()=6,"KÜÇÜK",IF($E$16-E24&lt;=20,"KÜÇÜK",IF($E$16-E24&lt;=50,"ORTA",IF($E$16-E24&lt;=57,"BÜYÜK","X")))))</f>
        <v>X</v>
      </c>
    </row>
    <row r="25" spans="1:11">
      <c r="B25" s="79">
        <v>10</v>
      </c>
      <c r="C25" s="44" t="s">
        <v>55</v>
      </c>
      <c r="D25" s="65">
        <f>ANALİZ!AY27</f>
        <v>7</v>
      </c>
      <c r="E25" s="65">
        <f>ANALİZ!AZ27</f>
        <v>105.08774655704067</v>
      </c>
      <c r="F25" s="115">
        <f t="shared" si="1"/>
        <v>66.591038196865611</v>
      </c>
      <c r="G25" s="101" t="str">
        <f>IF(ROWS($G$16:G25)&gt;5,"X",IF(ROW()=6,"KÜÇÜK",IF($E$16-E25&lt;=20,"KÜÇÜK",IF($E$16-E25&lt;=50,"ORTA",IF($E$16-E25&lt;=57,"BÜYÜK","X")))))</f>
        <v>X</v>
      </c>
    </row>
    <row r="26" spans="1:11">
      <c r="A26" s="132"/>
      <c r="B26" s="69"/>
      <c r="C26" s="62"/>
      <c r="D26" s="68"/>
      <c r="E26" s="68"/>
      <c r="F26" s="117"/>
      <c r="I26" s="110" t="s">
        <v>97</v>
      </c>
      <c r="J26" s="110" t="s">
        <v>98</v>
      </c>
      <c r="K26" s="111" t="s">
        <v>99</v>
      </c>
    </row>
    <row r="27" spans="1:11">
      <c r="A27" s="132"/>
      <c r="B27" s="80"/>
      <c r="C27" s="84" t="s">
        <v>56</v>
      </c>
      <c r="D27" s="81" t="s">
        <v>105</v>
      </c>
      <c r="E27" s="81" t="s">
        <v>97</v>
      </c>
      <c r="F27" s="85"/>
      <c r="G27" s="87">
        <v>1</v>
      </c>
      <c r="I27" s="110" t="s">
        <v>102</v>
      </c>
      <c r="J27" s="110" t="s">
        <v>103</v>
      </c>
      <c r="K27" s="111" t="s">
        <v>104</v>
      </c>
    </row>
    <row r="28" spans="1:11">
      <c r="A28" s="130"/>
      <c r="B28" s="77">
        <v>1</v>
      </c>
      <c r="C28" s="42" t="s">
        <v>57</v>
      </c>
      <c r="D28" s="66">
        <f>ANALİZ!AY30</f>
        <v>6</v>
      </c>
      <c r="E28" s="66">
        <f>ANALİZ!AZ30</f>
        <v>185.9137948141439</v>
      </c>
      <c r="F28" s="118"/>
      <c r="G28" s="101" t="str">
        <f>IF(ROWS($G$28:G28)&gt;5,"X",IF(ROW()=6,"KÜÇÜK",IF($E$28-E28&lt;=20,"KÜÇÜK",IF($E$28-E28&lt;=50,"ORTA",IF($E$28-E28&lt;=57,"BÜYÜK","X")))))</f>
        <v>KÜÇÜK</v>
      </c>
      <c r="I28" s="113">
        <f>IF($G28="Küçük",$D28,"")</f>
        <v>6</v>
      </c>
      <c r="J28" s="105" t="str">
        <f>IF($G28="Orta",$D28,"")</f>
        <v/>
      </c>
      <c r="K28" s="106" t="str">
        <f>IF($G28="Büyük",$D28,"")</f>
        <v/>
      </c>
    </row>
    <row r="29" spans="1:11">
      <c r="A29" s="131"/>
      <c r="B29" s="78">
        <v>2</v>
      </c>
      <c r="C29" s="38" t="s">
        <v>58</v>
      </c>
      <c r="D29" s="65">
        <f>ANALİZ!AY31</f>
        <v>5</v>
      </c>
      <c r="E29" s="65">
        <f>ANALİZ!AZ31</f>
        <v>168.48155629209793</v>
      </c>
      <c r="F29" s="64">
        <f>$E$28-E29</f>
        <v>17.432238522045964</v>
      </c>
      <c r="G29" s="101" t="str">
        <f>IF(ROWS($G$28:G29)&gt;5,"X",IF(ROW()=6,"KÜÇÜK",IF($E$28-E29&lt;=20,"KÜÇÜK",IF($E$28-E29&lt;=50,"ORTA",IF($E$28-E29&lt;=57,"BÜYÜK","X")))))</f>
        <v>KÜÇÜK</v>
      </c>
      <c r="I29" s="104">
        <f>IF($G29="Küçük",$D29,"")</f>
        <v>5</v>
      </c>
      <c r="J29" s="105" t="str">
        <f>IF($G29="Orta",$D29,"")</f>
        <v/>
      </c>
      <c r="K29" s="106" t="str">
        <f>IF($G29="Büyük",$D29,"")</f>
        <v/>
      </c>
    </row>
    <row r="30" spans="1:11">
      <c r="A30" s="131"/>
      <c r="B30" s="77">
        <v>3</v>
      </c>
      <c r="C30" s="42" t="s">
        <v>59</v>
      </c>
      <c r="D30" s="65">
        <f>ANALİZ!AY32</f>
        <v>4</v>
      </c>
      <c r="E30" s="65">
        <f>ANALİZ!AZ32</f>
        <v>148.20297498596349</v>
      </c>
      <c r="F30" s="64">
        <f t="shared" ref="F30:F35" si="2">$E$28-E30</f>
        <v>37.710819828180405</v>
      </c>
      <c r="G30" s="101" t="str">
        <f>IF(ROWS($G$28:G30)&gt;5,"X",IF(ROW()=6,"KÜÇÜK",IF($E$28-E30&lt;=20,"KÜÇÜK",IF($E$28-E30&lt;=50,"ORTA",IF($E$28-E30&lt;=57,"BÜYÜK","X")))))</f>
        <v>ORTA</v>
      </c>
      <c r="I30" s="104" t="str">
        <f>IF($G30="Küçük",$D30,"")</f>
        <v/>
      </c>
      <c r="J30" s="105">
        <f>IF($G30="Orta",$D30,"")</f>
        <v>4</v>
      </c>
      <c r="K30" s="106" t="str">
        <f>IF($G30="Büyük",$D30,"")</f>
        <v/>
      </c>
    </row>
    <row r="31" spans="1:11">
      <c r="A31" s="131"/>
      <c r="B31" s="78">
        <v>4</v>
      </c>
      <c r="C31" s="38" t="s">
        <v>60</v>
      </c>
      <c r="D31" s="65">
        <f>ANALİZ!AY33</f>
        <v>7</v>
      </c>
      <c r="E31" s="65">
        <f>ANALİZ!AZ33</f>
        <v>130.49916664563639</v>
      </c>
      <c r="F31" s="64">
        <f t="shared" si="2"/>
        <v>55.414628168507505</v>
      </c>
      <c r="G31" s="101" t="str">
        <f>IF(ROWS($G$28:G31)&gt;5,"X",IF(ROW()=6,"KÜÇÜK",IF($E$28-E31&lt;=20,"KÜÇÜK",IF($E$28-E31&lt;=50,"ORTA",IF($E$28-E31&lt;=57,"BÜYÜK","X")))))</f>
        <v>BÜYÜK</v>
      </c>
      <c r="I31" s="104" t="str">
        <f>IF($G31="Küçük",$D31,"")</f>
        <v/>
      </c>
      <c r="J31" s="105" t="str">
        <f>IF($G31="Orta",$D31,"")</f>
        <v/>
      </c>
      <c r="K31" s="106">
        <f>IF($G31="Büyük",$D31,"")</f>
        <v>7</v>
      </c>
    </row>
    <row r="32" spans="1:11">
      <c r="A32" s="131"/>
      <c r="B32" s="77">
        <v>5</v>
      </c>
      <c r="C32" s="42" t="s">
        <v>61</v>
      </c>
      <c r="D32" s="65">
        <f>ANALİZ!AY34</f>
        <v>2</v>
      </c>
      <c r="E32" s="65">
        <f>ANALİZ!AZ34</f>
        <v>128.84457171225668</v>
      </c>
      <c r="F32" s="64">
        <f t="shared" si="2"/>
        <v>57.069223101887218</v>
      </c>
      <c r="G32" s="101" t="str">
        <f>IF(ROWS($G$28:G32)&gt;5,"X",IF(ROW()=6,"KÜÇÜK",IF($E$28-E32&lt;=20,"KÜÇÜK",IF($E$28-E32&lt;=50,"ORTA",IF($E$28-E32&lt;=57,"BÜYÜK","X")))))</f>
        <v>X</v>
      </c>
      <c r="I32" s="107" t="str">
        <f>IF($G32="Küçük",$D32,"")</f>
        <v/>
      </c>
      <c r="J32" s="108" t="str">
        <f>IF($G32="Orta",$D32,"")</f>
        <v/>
      </c>
      <c r="K32" s="109" t="str">
        <f>IF($G32="Büyük",$D32,"")</f>
        <v/>
      </c>
    </row>
    <row r="33" spans="1:11">
      <c r="B33" s="134">
        <v>6</v>
      </c>
      <c r="C33" s="135" t="s">
        <v>62</v>
      </c>
      <c r="D33" s="136">
        <f>ANALİZ!AY35</f>
        <v>3</v>
      </c>
      <c r="E33" s="136">
        <f>ANALİZ!AZ35</f>
        <v>72.106502973049643</v>
      </c>
      <c r="F33" s="64">
        <f t="shared" si="2"/>
        <v>113.80729184109425</v>
      </c>
      <c r="G33" s="101" t="str">
        <f>IF(ROWS($G$28:G33)&gt;5,"X",IF(ROW()=6,"KÜÇÜK",IF($E$28-E33&lt;=20,"KÜÇÜK",IF($E$28-E33&lt;=50,"ORTA",IF($E$28-E33&lt;=57,"BÜYÜK","X")))))</f>
        <v>X</v>
      </c>
    </row>
    <row r="34" spans="1:11">
      <c r="B34" s="79">
        <v>7</v>
      </c>
      <c r="C34" s="44" t="s">
        <v>63</v>
      </c>
      <c r="D34" s="65">
        <f>ANALİZ!AY36</f>
        <v>1</v>
      </c>
      <c r="E34" s="65">
        <f>ANALİZ!AZ36</f>
        <v>42.116042368005132</v>
      </c>
      <c r="F34" s="64">
        <f t="shared" si="2"/>
        <v>143.79775244613876</v>
      </c>
      <c r="G34" s="101" t="str">
        <f>IF(ROWS($G$28:G34)&gt;5,"X",IF(ROW()=6,"KÜÇÜK",IF($E$28-E34&lt;=20,"KÜÇÜK",IF($E$28-E34&lt;=50,"ORTA",IF($E$28-E34&lt;=57,"BÜYÜK","X")))))</f>
        <v>X</v>
      </c>
    </row>
    <row r="35" spans="1:11">
      <c r="B35" s="78">
        <v>8</v>
      </c>
      <c r="C35" s="55" t="s">
        <v>64</v>
      </c>
      <c r="D35" s="65">
        <f>ANALİZ!AY37</f>
        <v>8</v>
      </c>
      <c r="E35" s="65">
        <f>ANALİZ!AZ37</f>
        <v>30.537432070756523</v>
      </c>
      <c r="F35" s="64">
        <f t="shared" si="2"/>
        <v>155.37636274338738</v>
      </c>
      <c r="G35" s="101" t="str">
        <f>IF(ROWS($G$28:G35)&gt;5,"X",IF(ROW()=6,"KÜÇÜK",IF($E$28-E35&lt;=20,"KÜÇÜK",IF($E$28-E35&lt;=50,"ORTA",IF($E$28-E35&lt;=57,"BÜYÜK","X")))))</f>
        <v>X</v>
      </c>
    </row>
    <row r="36" spans="1:11">
      <c r="B36" s="75"/>
      <c r="C36" s="61"/>
      <c r="D36" s="67"/>
      <c r="E36" s="67"/>
      <c r="F36" s="116"/>
      <c r="I36" s="110" t="s">
        <v>97</v>
      </c>
      <c r="J36" s="110" t="s">
        <v>98</v>
      </c>
      <c r="K36" s="111" t="s">
        <v>99</v>
      </c>
    </row>
    <row r="37" spans="1:11">
      <c r="A37" s="132"/>
      <c r="B37" s="80"/>
      <c r="C37" s="84" t="s">
        <v>65</v>
      </c>
      <c r="D37" s="81" t="s">
        <v>105</v>
      </c>
      <c r="E37" s="81" t="s">
        <v>97</v>
      </c>
      <c r="F37" s="85"/>
      <c r="G37" s="87">
        <v>1</v>
      </c>
      <c r="I37" s="110" t="s">
        <v>102</v>
      </c>
      <c r="J37" s="110" t="s">
        <v>103</v>
      </c>
      <c r="K37" s="111" t="s">
        <v>104</v>
      </c>
    </row>
    <row r="38" spans="1:11">
      <c r="A38" s="130"/>
      <c r="B38" s="77">
        <v>1</v>
      </c>
      <c r="C38" s="42" t="s">
        <v>66</v>
      </c>
      <c r="D38" s="70">
        <f>ANALİZ!AY40</f>
        <v>3</v>
      </c>
      <c r="E38" s="70">
        <f>ANALİZ!AZ40</f>
        <v>141.669551595923</v>
      </c>
      <c r="F38" s="115"/>
      <c r="G38" s="101" t="str">
        <f>IF(ROWS($G$38:G38)&gt;5,"X",IF(ROW()=6,"KÜÇÜK",IF($E$38-E38&lt;=20,"KÜÇÜK",IF($E$38-E38&lt;=50,"ORTA",IF($E$38-E38&lt;=57,"BÜYÜK","X")))))</f>
        <v>KÜÇÜK</v>
      </c>
      <c r="I38" s="113">
        <f>IF($G38="Küçük",$D38,"")</f>
        <v>3</v>
      </c>
      <c r="J38" s="105" t="str">
        <f>IF($G38="Orta",$D38,"")</f>
        <v/>
      </c>
      <c r="K38" s="106" t="str">
        <f>IF($G38="Büyük",$D38,"")</f>
        <v/>
      </c>
    </row>
    <row r="39" spans="1:11">
      <c r="A39" s="131"/>
      <c r="B39" s="78">
        <v>2</v>
      </c>
      <c r="C39" s="38" t="s">
        <v>67</v>
      </c>
      <c r="D39" s="65">
        <f>ANALİZ!AY41</f>
        <v>4</v>
      </c>
      <c r="E39" s="65">
        <f>ANALİZ!AZ41</f>
        <v>129.82862300220481</v>
      </c>
      <c r="F39" s="64">
        <f>$E$38-E39</f>
        <v>11.840928593718189</v>
      </c>
      <c r="G39" s="101" t="str">
        <f>IF(ROWS($G$38:G39)&gt;5,"X",IF(ROW()=6,"KÜÇÜK",IF($E$38-E39&lt;=20,"KÜÇÜK",IF($E$38-E39&lt;=50,"ORTA",IF($E$38-E39&lt;=57,"BÜYÜK","X")))))</f>
        <v>KÜÇÜK</v>
      </c>
      <c r="I39" s="104">
        <f>IF($G39="Küçük",$D39,"")</f>
        <v>4</v>
      </c>
      <c r="J39" s="105" t="str">
        <f>IF($G39="Orta",$D39,"")</f>
        <v/>
      </c>
      <c r="K39" s="106" t="str">
        <f>IF($G39="Büyük",$D39,"")</f>
        <v/>
      </c>
    </row>
    <row r="40" spans="1:11">
      <c r="A40" s="131"/>
      <c r="B40" s="79">
        <v>3</v>
      </c>
      <c r="C40" s="44" t="s">
        <v>68</v>
      </c>
      <c r="D40" s="65">
        <f>ANALİZ!AY42</f>
        <v>6</v>
      </c>
      <c r="E40" s="65">
        <f>ANALİZ!AZ42</f>
        <v>124.07546355847484</v>
      </c>
      <c r="F40" s="64">
        <f t="shared" ref="F40:F45" si="3">$E$38-E40</f>
        <v>17.594088037448159</v>
      </c>
      <c r="G40" s="101" t="str">
        <f>IF(ROWS($G$38:G40)&gt;5,"X",IF(ROW()=6,"KÜÇÜK",IF($E$38-E40&lt;=20,"KÜÇÜK",IF($E$38-E40&lt;=50,"ORTA",IF($E$38-E40&lt;=57,"BÜYÜK","X")))))</f>
        <v>KÜÇÜK</v>
      </c>
      <c r="I40" s="104">
        <f>IF($G40="Küçük",$D40,"")</f>
        <v>6</v>
      </c>
      <c r="J40" s="105" t="str">
        <f>IF($G40="Orta",$D40,"")</f>
        <v/>
      </c>
      <c r="K40" s="106" t="str">
        <f>IF($G40="Büyük",$D40,"")</f>
        <v/>
      </c>
    </row>
    <row r="41" spans="1:11">
      <c r="A41" s="131"/>
      <c r="B41" s="78">
        <v>4</v>
      </c>
      <c r="C41" s="38" t="s">
        <v>69</v>
      </c>
      <c r="D41" s="65">
        <f>ANALİZ!AY43</f>
        <v>2</v>
      </c>
      <c r="E41" s="65">
        <f>ANALİZ!AZ43</f>
        <v>117.94833237632992</v>
      </c>
      <c r="F41" s="64">
        <f t="shared" si="3"/>
        <v>23.721219219593081</v>
      </c>
      <c r="G41" s="101" t="str">
        <f>IF(ROWS($G$38:G41)&gt;5,"X",IF(ROW()=6,"KÜÇÜK",IF($E$38-E41&lt;=20,"KÜÇÜK",IF($E$38-E41&lt;=50,"ORTA",IF($E$38-E41&lt;=57,"BÜYÜK","X")))))</f>
        <v>ORTA</v>
      </c>
      <c r="I41" s="104" t="str">
        <f>IF($G41="Küçük",$D41,"")</f>
        <v/>
      </c>
      <c r="J41" s="105">
        <f>IF($G41="Orta",$D41,"")</f>
        <v>2</v>
      </c>
      <c r="K41" s="106" t="str">
        <f>IF($G41="Büyük",$D41,"")</f>
        <v/>
      </c>
    </row>
    <row r="42" spans="1:11">
      <c r="A42" s="131"/>
      <c r="B42" s="77">
        <v>5</v>
      </c>
      <c r="C42" s="42" t="s">
        <v>70</v>
      </c>
      <c r="D42" s="65">
        <f>ANALİZ!AY44</f>
        <v>7</v>
      </c>
      <c r="E42" s="65">
        <f>ANALİZ!AZ44</f>
        <v>117.32094293511453</v>
      </c>
      <c r="F42" s="64">
        <f t="shared" si="3"/>
        <v>24.348608660808466</v>
      </c>
      <c r="G42" s="101" t="str">
        <f>IF(ROWS($G$38:G42)&gt;5,"X",IF(ROW()=6,"KÜÇÜK",IF($E$38-E42&lt;=20,"KÜÇÜK",IF($E$38-E42&lt;=50,"ORTA",IF($E$38-E42&lt;=57,"BÜYÜK","X")))))</f>
        <v>ORTA</v>
      </c>
      <c r="I42" s="107" t="str">
        <f>IF($G42="Küçük",$D42,"")</f>
        <v/>
      </c>
      <c r="J42" s="108">
        <f>IF($G42="Orta",$D42,"")</f>
        <v>7</v>
      </c>
      <c r="K42" s="109" t="str">
        <f>IF($G42="Büyük",$D42,"")</f>
        <v/>
      </c>
    </row>
    <row r="43" spans="1:11">
      <c r="B43" s="93">
        <v>6</v>
      </c>
      <c r="C43" s="96" t="s">
        <v>106</v>
      </c>
      <c r="D43" s="95">
        <f>ANALİZ!AY45</f>
        <v>5</v>
      </c>
      <c r="E43" s="95">
        <f>ANALİZ!AZ45</f>
        <v>96.216101026572858</v>
      </c>
      <c r="F43" s="64">
        <f t="shared" si="3"/>
        <v>45.453450569350139</v>
      </c>
      <c r="G43" s="101" t="str">
        <f>IF(ROWS($G$38:G43)&gt;5,"X",IF(ROW()=6,"KÜÇÜK",IF($E$38-E43&lt;=20,"KÜÇÜK",IF($E$38-E43&lt;=50,"ORTA",IF($E$38-E43&lt;=57,"BÜYÜK","X")))))</f>
        <v>X</v>
      </c>
    </row>
    <row r="44" spans="1:11">
      <c r="B44" s="77">
        <v>7</v>
      </c>
      <c r="C44" s="42" t="s">
        <v>72</v>
      </c>
      <c r="D44" s="65">
        <f>ANALİZ!AY46</f>
        <v>8</v>
      </c>
      <c r="E44" s="65">
        <f>ANALİZ!AZ46</f>
        <v>78.521065196923757</v>
      </c>
      <c r="F44" s="64">
        <f t="shared" si="3"/>
        <v>63.148486398999239</v>
      </c>
      <c r="G44" s="101" t="str">
        <f>IF(ROWS($G$38:G44)&gt;5,"X",IF(ROW()=6,"KÜÇÜK",IF($E$38-E44&lt;=20,"KÜÇÜK",IF($E$38-E44&lt;=50,"ORTA",IF($E$38-E44&lt;=57,"BÜYÜK","X")))))</f>
        <v>X</v>
      </c>
    </row>
    <row r="45" spans="1:11">
      <c r="B45" s="78">
        <v>8</v>
      </c>
      <c r="C45" s="38" t="s">
        <v>73</v>
      </c>
      <c r="D45" s="65">
        <f>ANALİZ!AY47</f>
        <v>1</v>
      </c>
      <c r="E45" s="65">
        <f>ANALİZ!AZ47</f>
        <v>71.084365600192214</v>
      </c>
      <c r="F45" s="64">
        <f t="shared" si="3"/>
        <v>70.585185995730782</v>
      </c>
      <c r="G45" s="101" t="str">
        <f>IF(ROWS($G$38:G45)&gt;5,"X",IF(ROW()=6,"KÜÇÜK",IF($E$38-E45&lt;=20,"KÜÇÜK",IF($E$38-E45&lt;=50,"ORTA",IF($E$38-E45&lt;=57,"BÜYÜK","X")))))</f>
        <v>X</v>
      </c>
    </row>
    <row r="46" spans="1:11">
      <c r="B46" s="75"/>
      <c r="C46" s="61"/>
      <c r="D46" s="67"/>
      <c r="E46" s="67"/>
      <c r="F46" s="116"/>
      <c r="I46" s="110" t="s">
        <v>97</v>
      </c>
      <c r="J46" s="110" t="s">
        <v>98</v>
      </c>
      <c r="K46" s="111" t="s">
        <v>99</v>
      </c>
    </row>
    <row r="47" spans="1:11">
      <c r="A47" s="132"/>
      <c r="B47" s="80"/>
      <c r="C47" s="84" t="s">
        <v>65</v>
      </c>
      <c r="D47" s="81" t="s">
        <v>105</v>
      </c>
      <c r="E47" s="81" t="s">
        <v>97</v>
      </c>
      <c r="F47" s="85"/>
      <c r="G47" s="87">
        <v>1</v>
      </c>
      <c r="I47" s="110" t="s">
        <v>102</v>
      </c>
      <c r="J47" s="110" t="s">
        <v>103</v>
      </c>
      <c r="K47" s="111" t="s">
        <v>104</v>
      </c>
    </row>
    <row r="48" spans="1:11">
      <c r="A48" s="130"/>
      <c r="B48" s="77">
        <v>1</v>
      </c>
      <c r="C48" s="42" t="s">
        <v>74</v>
      </c>
      <c r="D48" s="70">
        <f>ANALİZ!AY50</f>
        <v>1</v>
      </c>
      <c r="E48" s="70">
        <f>ANALİZ!AZ50</f>
        <v>156.39365433126162</v>
      </c>
      <c r="F48" s="115"/>
      <c r="G48" s="101" t="str">
        <f>IF(ROWS($G$48:G48)&gt;5,"X",IF(ROW()=6,"KÜÇÜK",IF($E$48-E48&lt;=20,"KÜÇÜK",IF($E$48-E48&lt;=50,"ORTA",IF($E$48-E48&lt;=57,"BÜYÜK","X")))))</f>
        <v>KÜÇÜK</v>
      </c>
      <c r="I48" s="104">
        <f>IF($G48="Küçük",$D48,"")</f>
        <v>1</v>
      </c>
      <c r="J48" s="105" t="str">
        <f>IF($G48="Orta",$D48,"")</f>
        <v/>
      </c>
      <c r="K48" s="106" t="str">
        <f>IF($G48="Büyük",$D48,"")</f>
        <v/>
      </c>
    </row>
    <row r="49" spans="1:11">
      <c r="A49" s="131"/>
      <c r="B49" s="78">
        <v>2</v>
      </c>
      <c r="C49" s="38" t="s">
        <v>75</v>
      </c>
      <c r="D49" s="65">
        <f>ANALİZ!AY51</f>
        <v>4</v>
      </c>
      <c r="E49" s="65">
        <f>ANALİZ!AZ51</f>
        <v>151.4169609549605</v>
      </c>
      <c r="F49" s="64">
        <f>$E$48-E49</f>
        <v>4.9766933763011139</v>
      </c>
      <c r="G49" s="101" t="str">
        <f>IF(ROWS($G$48:G49)&gt;5,"X",IF(ROW()=6,"KÜÇÜK",IF($E$48-E49&lt;=20,"KÜÇÜK",IF($E$48-E49&lt;=50,"ORTA",IF($E$48-E49&lt;=57,"BÜYÜK","X")))))</f>
        <v>KÜÇÜK</v>
      </c>
      <c r="I49" s="104">
        <f>IF($G49="Küçük",$D49,"")</f>
        <v>4</v>
      </c>
      <c r="J49" s="105" t="str">
        <f>IF($G49="Orta",$D49,"")</f>
        <v/>
      </c>
      <c r="K49" s="106" t="str">
        <f>IF($G49="Büyük",$D49,"")</f>
        <v/>
      </c>
    </row>
    <row r="50" spans="1:11">
      <c r="A50" s="131"/>
      <c r="B50" s="77">
        <v>3</v>
      </c>
      <c r="C50" s="42" t="s">
        <v>76</v>
      </c>
      <c r="D50" s="65">
        <f>ANALİZ!AY52</f>
        <v>3</v>
      </c>
      <c r="E50" s="65">
        <f>ANALİZ!AZ52</f>
        <v>100.12315989699697</v>
      </c>
      <c r="F50" s="64">
        <f t="shared" ref="F50:F55" si="4">$E$48-E50</f>
        <v>56.270494434264648</v>
      </c>
      <c r="G50" s="101" t="str">
        <f>IF(ROWS($G$48:G50)&gt;5,"X",IF(ROW()=6,"KÜÇÜK",IF($E$48-E50&lt;=20,"KÜÇÜK",IF($E$48-E50&lt;=50,"ORTA",IF($E$48-E50&lt;=57,"BÜYÜK","X")))))</f>
        <v>BÜYÜK</v>
      </c>
      <c r="I50" s="104" t="str">
        <f>IF($G50="Küçük",$D50,"")</f>
        <v/>
      </c>
      <c r="J50" s="105" t="str">
        <f>IF($G50="Orta",$D50,"")</f>
        <v/>
      </c>
      <c r="K50" s="106">
        <f>IF($G50="Büyük",$D50,"")</f>
        <v>3</v>
      </c>
    </row>
    <row r="51" spans="1:11">
      <c r="A51" s="131"/>
      <c r="B51" s="78">
        <v>4</v>
      </c>
      <c r="C51" s="38" t="s">
        <v>77</v>
      </c>
      <c r="D51" s="65">
        <f>ANALİZ!AY53</f>
        <v>6</v>
      </c>
      <c r="E51" s="65">
        <f>ANALİZ!AZ53</f>
        <v>98.533216766890121</v>
      </c>
      <c r="F51" s="64">
        <f t="shared" si="4"/>
        <v>57.860437564371495</v>
      </c>
      <c r="G51" s="101" t="str">
        <f>IF(ROWS($G$48:G51)&gt;5,"X",IF(ROW()=6,"KÜÇÜK",IF($E$48-E51&lt;=20,"KÜÇÜK",IF($E$48-E51&lt;=50,"ORTA",IF($E$48-E51&lt;=57,"BÜYÜK","X")))))</f>
        <v>X</v>
      </c>
      <c r="I51" s="104" t="str">
        <f>IF($G51="Küçük",$D51,"")</f>
        <v/>
      </c>
      <c r="J51" s="105" t="str">
        <f>IF($G51="Orta",$D51,"")</f>
        <v/>
      </c>
      <c r="K51" s="106" t="str">
        <f>IF($G51="Büyük",$D51,"")</f>
        <v/>
      </c>
    </row>
    <row r="52" spans="1:11">
      <c r="A52" s="131"/>
      <c r="B52" s="77">
        <v>5</v>
      </c>
      <c r="C52" s="42" t="s">
        <v>78</v>
      </c>
      <c r="D52" s="65">
        <f>ANALİZ!AY54</f>
        <v>5</v>
      </c>
      <c r="E52" s="65">
        <f>ANALİZ!AZ54</f>
        <v>84.859502686014494</v>
      </c>
      <c r="F52" s="64">
        <f t="shared" si="4"/>
        <v>71.534151645247121</v>
      </c>
      <c r="G52" s="101" t="str">
        <f>IF(ROWS($G$48:G52)&gt;5,"X",IF(ROW()=6,"KÜÇÜK",IF($E$48-E52&lt;=20,"KÜÇÜK",IF($E$48-E52&lt;=50,"ORTA",IF($E$48-E52&lt;=57,"BÜYÜK","X")))))</f>
        <v>X</v>
      </c>
      <c r="I52" s="107" t="str">
        <f>IF($G52="Küçük",$D52,"")</f>
        <v/>
      </c>
      <c r="J52" s="108" t="str">
        <f>IF($G52="Orta",$D52,"")</f>
        <v/>
      </c>
      <c r="K52" s="109" t="str">
        <f>IF($G52="Büyük",$D52,"")</f>
        <v/>
      </c>
    </row>
    <row r="53" spans="1:11">
      <c r="B53" s="93">
        <v>6</v>
      </c>
      <c r="C53" s="94" t="s">
        <v>79</v>
      </c>
      <c r="D53" s="95">
        <f>ANALİZ!AY55</f>
        <v>2</v>
      </c>
      <c r="E53" s="95">
        <f>ANALİZ!AZ55</f>
        <v>83.209044968220269</v>
      </c>
      <c r="F53" s="64">
        <f t="shared" si="4"/>
        <v>73.184609363041346</v>
      </c>
      <c r="G53" s="101" t="str">
        <f>IF(ROWS($G$48:G53)&gt;5,"X",IF(ROW()=6,"KÜÇÜK",IF($E$48-E53&lt;=20,"KÜÇÜK",IF($E$48-E53&lt;=50,"ORTA",IF($E$48-E53&lt;=57,"BÜYÜK","X")))))</f>
        <v>X</v>
      </c>
    </row>
    <row r="54" spans="1:11">
      <c r="B54" s="79">
        <v>7</v>
      </c>
      <c r="C54" s="44" t="s">
        <v>80</v>
      </c>
      <c r="D54" s="65">
        <f>ANALİZ!AY56</f>
        <v>8</v>
      </c>
      <c r="E54" s="65">
        <f>ANALİZ!AZ56</f>
        <v>81.11072797747336</v>
      </c>
      <c r="F54" s="64">
        <f t="shared" si="4"/>
        <v>75.282926353788255</v>
      </c>
      <c r="G54" s="101" t="str">
        <f>IF(ROWS($G$48:G54)&gt;5,"X",IF(ROW()=6,"KÜÇÜK",IF($E$48-E54&lt;=20,"KÜÇÜK",IF($E$48-E54&lt;=50,"ORTA",IF($E$48-E54&lt;=57,"BÜYÜK","X")))))</f>
        <v>X</v>
      </c>
    </row>
    <row r="55" spans="1:11">
      <c r="B55" s="78">
        <v>8</v>
      </c>
      <c r="C55" s="38" t="s">
        <v>81</v>
      </c>
      <c r="D55" s="65">
        <f>ANALİZ!AY57</f>
        <v>7</v>
      </c>
      <c r="E55" s="65">
        <f>ANALİZ!AZ57</f>
        <v>78.397579296513697</v>
      </c>
      <c r="F55" s="64">
        <f t="shared" si="4"/>
        <v>77.996075034747918</v>
      </c>
      <c r="G55" s="101" t="str">
        <f>IF(ROWS($G$48:G55)&gt;5,"X",IF(ROW()=6,"KÜÇÜK",IF($E$48-E55&lt;=20,"KÜÇÜK",IF($E$48-E55&lt;=50,"ORTA",IF($E$48-E55&lt;=57,"BÜYÜK","X")))))</f>
        <v>X</v>
      </c>
    </row>
    <row r="56" spans="1:11">
      <c r="A56" s="132"/>
      <c r="B56" s="69"/>
      <c r="C56" s="62"/>
      <c r="D56" s="68"/>
      <c r="E56" s="68"/>
      <c r="F56" s="117"/>
      <c r="I56" s="110" t="s">
        <v>97</v>
      </c>
      <c r="J56" s="110" t="s">
        <v>98</v>
      </c>
      <c r="K56" s="111" t="s">
        <v>99</v>
      </c>
    </row>
    <row r="57" spans="1:11">
      <c r="A57" s="132"/>
      <c r="B57" s="80"/>
      <c r="C57" s="84" t="s">
        <v>82</v>
      </c>
      <c r="D57" s="81" t="s">
        <v>105</v>
      </c>
      <c r="E57" s="81" t="s">
        <v>97</v>
      </c>
      <c r="F57" s="85"/>
      <c r="G57" s="87">
        <v>1</v>
      </c>
      <c r="I57" s="110" t="s">
        <v>102</v>
      </c>
      <c r="J57" s="110" t="s">
        <v>103</v>
      </c>
      <c r="K57" s="111" t="s">
        <v>104</v>
      </c>
    </row>
    <row r="58" spans="1:11">
      <c r="A58" s="130"/>
      <c r="B58" s="77">
        <v>1</v>
      </c>
      <c r="C58" s="57" t="s">
        <v>83</v>
      </c>
      <c r="D58" s="70">
        <f>ANALİZ!AY60</f>
        <v>4</v>
      </c>
      <c r="E58" s="70">
        <f>ANALİZ!AZ60</f>
        <v>73.649107057577908</v>
      </c>
      <c r="F58" s="115"/>
      <c r="G58" s="101" t="str">
        <f>IF(ROWS($G$58:G58)&gt;5,"X",IF(ROW()=6,"KÜÇÜK",IF($E$58-E58&lt;=20,"KÜÇÜK",IF($E$58-E58&lt;=50,"ORTA",IF($E$58-E58&lt;=57,"BÜYÜK","X")))))</f>
        <v>KÜÇÜK</v>
      </c>
      <c r="I58" s="104">
        <f>IF($G58="Küçük",$D58,"")</f>
        <v>4</v>
      </c>
      <c r="J58" s="105" t="str">
        <f>IF($G58="Orta",$D58,"")</f>
        <v/>
      </c>
      <c r="K58" s="106" t="str">
        <f>IF($G58="Büyük",$D58,"")</f>
        <v/>
      </c>
    </row>
    <row r="59" spans="1:11">
      <c r="A59" s="131"/>
      <c r="B59" s="78">
        <v>2</v>
      </c>
      <c r="C59" s="38" t="s">
        <v>84</v>
      </c>
      <c r="D59" s="65">
        <f>ANALİZ!AY61</f>
        <v>9</v>
      </c>
      <c r="E59" s="65">
        <f>ANALİZ!AZ61</f>
        <v>72.907827071165229</v>
      </c>
      <c r="F59" s="64">
        <f>$E$58-E59</f>
        <v>0.74127998641267823</v>
      </c>
      <c r="G59" s="101" t="str">
        <f>IF(ROWS($G$58:G59)&gt;5,"X",IF(ROW()=6,"KÜÇÜK",IF($E$58-E59&lt;=20,"KÜÇÜK",IF($E$58-E59&lt;=50,"ORTA",IF($E$58-E59&lt;=57,"BÜYÜK","X")))))</f>
        <v>KÜÇÜK</v>
      </c>
      <c r="I59" s="104">
        <f>IF($G59="Küçük",$D59,"")</f>
        <v>9</v>
      </c>
      <c r="J59" s="105" t="str">
        <f>IF($G59="Orta",$D59,"")</f>
        <v/>
      </c>
      <c r="K59" s="106" t="str">
        <f>IF($G59="Büyük",$D59,"")</f>
        <v/>
      </c>
    </row>
    <row r="60" spans="1:11">
      <c r="A60" s="131"/>
      <c r="B60" s="77">
        <v>3</v>
      </c>
      <c r="C60" s="42" t="s">
        <v>85</v>
      </c>
      <c r="D60" s="65">
        <f>ANALİZ!AY62</f>
        <v>3</v>
      </c>
      <c r="E60" s="65">
        <f>ANALİZ!AZ62</f>
        <v>67.602580082680831</v>
      </c>
      <c r="F60" s="64">
        <f t="shared" ref="F60:F66" si="5">$E$58-E60</f>
        <v>6.0465269748970769</v>
      </c>
      <c r="G60" s="101" t="str">
        <f>IF(ROWS($G$58:G60)&gt;5,"X",IF(ROW()=6,"KÜÇÜK",IF($E$58-E60&lt;=20,"KÜÇÜK",IF($E$58-E60&lt;=50,"ORTA",IF($E$58-E60&lt;=57,"BÜYÜK","X")))))</f>
        <v>KÜÇÜK</v>
      </c>
      <c r="I60" s="104">
        <f>IF($G60="Küçük",$D60,"")</f>
        <v>3</v>
      </c>
      <c r="J60" s="105" t="str">
        <f>IF($G60="Orta",$D60,"")</f>
        <v/>
      </c>
      <c r="K60" s="106" t="str">
        <f>IF($G60="Büyük",$D60,"")</f>
        <v/>
      </c>
    </row>
    <row r="61" spans="1:11">
      <c r="A61" s="131"/>
      <c r="B61" s="78">
        <v>4</v>
      </c>
      <c r="C61" s="58" t="s">
        <v>86</v>
      </c>
      <c r="D61" s="65">
        <f>ANALİZ!AY63</f>
        <v>7</v>
      </c>
      <c r="E61" s="65">
        <f>ANALİZ!AZ63</f>
        <v>62.210989387994857</v>
      </c>
      <c r="F61" s="64">
        <f t="shared" si="5"/>
        <v>11.43811766958305</v>
      </c>
      <c r="G61" s="101" t="str">
        <f>IF(ROWS($G$58:G61)&gt;5,"X",IF(ROW()=6,"KÜÇÜK",IF($E$58-E61&lt;=20,"KÜÇÜK",IF($E$58-E61&lt;=50,"ORTA",IF($E$58-E61&lt;=57,"BÜYÜK","X")))))</f>
        <v>KÜÇÜK</v>
      </c>
      <c r="I61" s="104">
        <f>IF($G61="Küçük",$D61,"")</f>
        <v>7</v>
      </c>
      <c r="J61" s="105" t="str">
        <f>IF($G61="Orta",$D61,"")</f>
        <v/>
      </c>
      <c r="K61" s="106" t="str">
        <f>IF($G61="Büyük",$D61,"")</f>
        <v/>
      </c>
    </row>
    <row r="62" spans="1:11">
      <c r="A62" s="131"/>
      <c r="B62" s="77">
        <v>5</v>
      </c>
      <c r="C62" s="42" t="s">
        <v>87</v>
      </c>
      <c r="D62" s="65">
        <f>ANALİZ!AY64</f>
        <v>2</v>
      </c>
      <c r="E62" s="65">
        <f>ANALİZ!AZ64</f>
        <v>60.192236187963488</v>
      </c>
      <c r="F62" s="64">
        <f t="shared" si="5"/>
        <v>13.45687086961442</v>
      </c>
      <c r="G62" s="101" t="str">
        <f>IF(ROWS($G$58:G62)&gt;5,"X",IF(ROW()=6,"KÜÇÜK",IF($E$58-E62&lt;=20,"KÜÇÜK",IF($E$58-E62&lt;=50,"ORTA",IF($E$58-E62&lt;=57,"BÜYÜK","X")))))</f>
        <v>KÜÇÜK</v>
      </c>
      <c r="I62" s="107">
        <f>IF($G62="Küçük",$D62,"")</f>
        <v>2</v>
      </c>
      <c r="J62" s="108" t="str">
        <f>IF($G62="Orta",$D62,"")</f>
        <v/>
      </c>
      <c r="K62" s="109" t="str">
        <f>IF($G62="Büyük",$D62,"")</f>
        <v/>
      </c>
    </row>
    <row r="63" spans="1:11">
      <c r="B63" s="93">
        <v>6</v>
      </c>
      <c r="C63" s="96" t="s">
        <v>107</v>
      </c>
      <c r="D63" s="95">
        <f>ANALİZ!AY65</f>
        <v>6</v>
      </c>
      <c r="E63" s="95">
        <f>ANALİZ!AZ65</f>
        <v>56.810018962527053</v>
      </c>
      <c r="F63" s="64">
        <f t="shared" si="5"/>
        <v>16.839088095050855</v>
      </c>
      <c r="G63" s="101" t="str">
        <f>IF(ROWS($G$58:G63)&gt;5,"X",IF(ROW()=6,"KÜÇÜK",IF($E$58-E63&lt;=20,"KÜÇÜK",IF($E$58-E63&lt;=50,"ORTA",IF($E$58-E63&lt;=57,"BÜYÜK","X")))))</f>
        <v>X</v>
      </c>
    </row>
    <row r="64" spans="1:11">
      <c r="B64" s="77">
        <v>7</v>
      </c>
      <c r="C64" s="42" t="s">
        <v>89</v>
      </c>
      <c r="D64" s="65">
        <f>ANALİZ!AY66</f>
        <v>8</v>
      </c>
      <c r="E64" s="65">
        <f>ANALİZ!AZ66</f>
        <v>49.107625330532869</v>
      </c>
      <c r="F64" s="64">
        <f t="shared" si="5"/>
        <v>24.541481727045038</v>
      </c>
      <c r="G64" s="101" t="str">
        <f>IF(ROWS($G$58:G64)&gt;5,"X",IF(ROW()=6,"KÜÇÜK",IF($E$58-E64&lt;=20,"KÜÇÜK",IF($E$58-E64&lt;=50,"ORTA",IF($E$58-E64&lt;=57,"BÜYÜK","X")))))</f>
        <v>X</v>
      </c>
    </row>
    <row r="65" spans="1:12">
      <c r="B65" s="78">
        <v>8</v>
      </c>
      <c r="C65" s="38" t="s">
        <v>90</v>
      </c>
      <c r="D65" s="65">
        <f>ANALİZ!AY67</f>
        <v>5</v>
      </c>
      <c r="E65" s="65">
        <f>ANALİZ!AZ67</f>
        <v>37.993866414875498</v>
      </c>
      <c r="F65" s="64">
        <f t="shared" si="5"/>
        <v>35.65524064270241</v>
      </c>
      <c r="G65" s="101" t="str">
        <f>IF(ROWS($G$58:G65)&gt;5,"X",IF(ROW()=6,"KÜÇÜK",IF($E$58-E65&lt;=20,"KÜÇÜK",IF($E$58-E65&lt;=50,"ORTA",IF($E$58-E65&lt;=57,"BÜYÜK","X")))))</f>
        <v>X</v>
      </c>
    </row>
    <row r="66" spans="1:12">
      <c r="B66" s="79">
        <v>9</v>
      </c>
      <c r="C66" s="44" t="s">
        <v>91</v>
      </c>
      <c r="D66" s="65">
        <f>ANALİZ!AY68</f>
        <v>1</v>
      </c>
      <c r="E66" s="65">
        <f>ANALİZ!AZ68</f>
        <v>16.053369291795665</v>
      </c>
      <c r="F66" s="64">
        <f t="shared" si="5"/>
        <v>57.595737765782246</v>
      </c>
      <c r="G66" s="101" t="str">
        <f>IF(ROWS($G$58:G66)&gt;5,"X",IF(ROW()=6,"KÜÇÜK",IF($E$58-E66&lt;=20,"KÜÇÜK",IF($E$58-E66&lt;=50,"ORTA",IF($E$58-E66&lt;=57,"BÜYÜK","X")))))</f>
        <v>X</v>
      </c>
    </row>
    <row r="67" spans="1:12">
      <c r="A67" s="133"/>
      <c r="B67" s="75"/>
      <c r="C67" s="61"/>
      <c r="D67" s="67"/>
      <c r="E67" s="67"/>
      <c r="F67" s="116"/>
      <c r="I67" s="110" t="s">
        <v>97</v>
      </c>
      <c r="J67" s="110" t="s">
        <v>98</v>
      </c>
      <c r="K67" s="111" t="s">
        <v>99</v>
      </c>
    </row>
    <row r="68" spans="1:12">
      <c r="A68" s="132"/>
      <c r="B68" s="80"/>
      <c r="C68" s="84" t="s">
        <v>34</v>
      </c>
      <c r="D68" s="81" t="s">
        <v>105</v>
      </c>
      <c r="E68" s="81" t="s">
        <v>98</v>
      </c>
      <c r="F68" s="85"/>
      <c r="G68" s="87">
        <v>3</v>
      </c>
      <c r="I68" s="110" t="s">
        <v>102</v>
      </c>
      <c r="J68" s="110" t="s">
        <v>103</v>
      </c>
      <c r="K68" s="111" t="s">
        <v>104</v>
      </c>
    </row>
    <row r="69" spans="1:12">
      <c r="A69" s="130"/>
      <c r="B69" s="77">
        <v>1</v>
      </c>
      <c r="C69" s="42" t="s">
        <v>92</v>
      </c>
      <c r="D69" s="65">
        <f>ANALİZ!AY71</f>
        <v>4</v>
      </c>
      <c r="E69" s="65">
        <f>ANALİZ!AZ71</f>
        <v>152.13823236262112</v>
      </c>
      <c r="G69" s="101" t="str">
        <f>IF(ROWS($G$69:G69)&gt;5,"X",IF(ROW()=6,"KÜÇÜK",IF($E$69-E69&lt;=20,"KÜÇÜK",IF($E$69-E69&lt;=50,"ORTA",IF($E$69-E69&lt;=57,"BÜYÜK","X")))))</f>
        <v>KÜÇÜK</v>
      </c>
      <c r="I69" s="104">
        <f>IF($G69="Küçük",$D69,"")</f>
        <v>4</v>
      </c>
      <c r="J69" s="105" t="str">
        <f>IF($G69="Orta",$D69,"")</f>
        <v/>
      </c>
      <c r="K69" s="106" t="str">
        <f>IF($G69="Büyük",$D69,"")</f>
        <v/>
      </c>
    </row>
    <row r="70" spans="1:12">
      <c r="A70" s="131"/>
      <c r="B70" s="78">
        <v>2</v>
      </c>
      <c r="C70" s="38" t="s">
        <v>54</v>
      </c>
      <c r="D70" s="65">
        <f>ANALİZ!AY72</f>
        <v>6</v>
      </c>
      <c r="E70" s="65">
        <f>ANALİZ!AZ72</f>
        <v>133.81541922403434</v>
      </c>
      <c r="F70" s="64">
        <f>$E$69-E70</f>
        <v>18.322813138586781</v>
      </c>
      <c r="G70" s="101" t="str">
        <f>IF(ROWS($G$69:G70)&gt;5,"X",IF(ROW()=6,"KÜÇÜK",IF($E$69-E70&lt;=20,"KÜÇÜK",IF($E$69-E70&lt;=50,"ORTA",IF($E$69-E70&lt;=57,"BÜYÜK","X")))))</f>
        <v>KÜÇÜK</v>
      </c>
      <c r="I70" s="104">
        <f>IF($G70="Küçük",$D70,"")</f>
        <v>6</v>
      </c>
      <c r="J70" s="105" t="str">
        <f>IF($G70="Orta",$D70,"")</f>
        <v/>
      </c>
      <c r="K70" s="106" t="str">
        <f>IF($G70="Büyük",$D70,"")</f>
        <v/>
      </c>
    </row>
    <row r="71" spans="1:12">
      <c r="A71" s="131"/>
      <c r="B71" s="77">
        <v>3</v>
      </c>
      <c r="C71" s="42" t="s">
        <v>93</v>
      </c>
      <c r="D71" s="70">
        <f>ANALİZ!AY73</f>
        <v>2</v>
      </c>
      <c r="E71" s="70">
        <f>ANALİZ!AZ73</f>
        <v>124.8692152517355</v>
      </c>
      <c r="F71" s="64">
        <f t="shared" ref="F71:F74" si="6">$E$69-E71</f>
        <v>27.269017110885628</v>
      </c>
      <c r="G71" s="101" t="str">
        <f>IF(ROWS($G$69:G71)&gt;5,"X",IF(ROW()=6,"KÜÇÜK",IF($E$69-E71&lt;=20,"KÜÇÜK",IF($E$69-E71&lt;=50,"ORTA",IF($E$69-E71&lt;=57,"BÜYÜK","X")))))</f>
        <v>ORTA</v>
      </c>
      <c r="I71" s="104" t="str">
        <f>IF($G71="Küçük",$D71,"")</f>
        <v/>
      </c>
      <c r="J71" s="105">
        <f>IF($G71="Orta",$D71,"")</f>
        <v>2</v>
      </c>
      <c r="K71" s="106" t="str">
        <f>IF($G71="Büyük",$D71,"")</f>
        <v/>
      </c>
    </row>
    <row r="72" spans="1:12">
      <c r="A72" s="131"/>
      <c r="B72" s="78">
        <v>4</v>
      </c>
      <c r="C72" s="38" t="s">
        <v>94</v>
      </c>
      <c r="D72" s="65">
        <f>ANALİZ!AY74</f>
        <v>3</v>
      </c>
      <c r="E72" s="65">
        <f>ANALİZ!AZ74</f>
        <v>118.70255815500769</v>
      </c>
      <c r="F72" s="64">
        <f t="shared" si="6"/>
        <v>33.435674207613431</v>
      </c>
      <c r="G72" s="101" t="str">
        <f>IF(ROWS($G$69:G72)&gt;5,"X",IF(ROW()=6,"KÜÇÜK",IF($E$69-E72&lt;=20,"KÜÇÜK",IF($E$69-E72&lt;=50,"ORTA",IF($E$69-E72&lt;=57,"BÜYÜK","X")))))</f>
        <v>ORTA</v>
      </c>
      <c r="I72" s="104" t="str">
        <f>IF($G72="Küçük",$D72,"")</f>
        <v/>
      </c>
      <c r="J72" s="105">
        <f>IF($G72="Orta",$D72,"")</f>
        <v>3</v>
      </c>
      <c r="K72" s="106" t="str">
        <f>IF($G72="Büyük",$D72,"")</f>
        <v/>
      </c>
    </row>
    <row r="73" spans="1:12">
      <c r="A73" s="131"/>
      <c r="B73" s="77">
        <v>5</v>
      </c>
      <c r="C73" s="42" t="s">
        <v>95</v>
      </c>
      <c r="D73" s="65">
        <f>ANALİZ!AY75</f>
        <v>5</v>
      </c>
      <c r="E73" s="65">
        <f>ANALİZ!AZ75</f>
        <v>71.879602461825357</v>
      </c>
      <c r="F73" s="64">
        <f t="shared" si="6"/>
        <v>80.258629900795768</v>
      </c>
      <c r="G73" s="101" t="str">
        <f>IF(ROWS($G$69:G73)&gt;5,"X",IF(ROW()=6,"KÜÇÜK",IF($E$69-E73&lt;=20,"KÜÇÜK",IF($E$69-E73&lt;=50,"ORTA",IF($E$69-E73&lt;=57,"BÜYÜK","X")))))</f>
        <v>X</v>
      </c>
      <c r="I73" s="107" t="str">
        <f>IF($G73="Küçük",$D73,"")</f>
        <v/>
      </c>
      <c r="J73" s="108" t="str">
        <f>IF($G73="Orta",$D73,"")</f>
        <v/>
      </c>
      <c r="K73" s="109" t="str">
        <f>IF($G73="Büyük",$D73,"")</f>
        <v/>
      </c>
    </row>
    <row r="74" spans="1:12">
      <c r="B74" s="79">
        <v>6</v>
      </c>
      <c r="C74" s="44" t="s">
        <v>96</v>
      </c>
      <c r="D74" s="65">
        <f>ANALİZ!AY76</f>
        <v>1</v>
      </c>
      <c r="E74" s="65">
        <f>ANALİZ!AZ76</f>
        <v>69.573005462986202</v>
      </c>
      <c r="F74" s="64">
        <f t="shared" si="6"/>
        <v>82.565226899634922</v>
      </c>
      <c r="G74" s="101" t="str">
        <f>IF(ROWS($G$69:G74)&gt;5,"X",IF(ROW()=6,"KÜÇÜK",IF($E$69-E74&lt;=20,"KÜÇÜK",IF($E$69-E74&lt;=50,"ORTA",IF($E$69-E74&lt;=57,"BÜYÜK","X")))))</f>
        <v>X</v>
      </c>
    </row>
    <row r="75" spans="1:12">
      <c r="B75" s="75"/>
      <c r="C75" s="61"/>
      <c r="D75" s="67"/>
      <c r="E75" s="67"/>
      <c r="F75" s="116"/>
      <c r="G75" s="82"/>
      <c r="H75"/>
      <c r="I75"/>
      <c r="J75"/>
      <c r="K75"/>
      <c r="L75"/>
    </row>
  </sheetData>
  <phoneticPr fontId="3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 altıntak</dc:creator>
  <cp:keywords/>
  <dc:description/>
  <cp:lastModifiedBy>Guest User</cp:lastModifiedBy>
  <cp:revision/>
  <dcterms:created xsi:type="dcterms:W3CDTF">2026-03-10T20:01:35Z</dcterms:created>
  <dcterms:modified xsi:type="dcterms:W3CDTF">2026-05-12T19:34:23Z</dcterms:modified>
  <cp:category/>
  <cp:contentStatus/>
</cp:coreProperties>
</file>